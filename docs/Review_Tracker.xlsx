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G-xAI-AMI Review" sheetId="1" state="visible" r:id="rId3"/>
    <sheet name="By Member" sheetId="2" state="visible" r:id="rId4"/>
    <sheet name="Existing xAI papers" sheetId="3" state="visible" r:id="rId5"/>
    <sheet name="Datasets &amp; Tools" sheetId="4" state="visible" r:id="rId6"/>
    <sheet name="README" sheetId="5" state="visible" r:id="rId7"/>
  </sheets>
  <definedNames>
    <definedName function="false" hidden="true" localSheetId="0" name="_xlnm._FilterDatabase" vbProcedure="false">'ECG-xAI-AMI Review'!$A$3:$O$26</definedName>
    <definedName function="false" hidden="true" localSheetId="2" name="_xlnm._FilterDatabase" vbProcedure="false">'Existing xAI papers'!$A$2:$K$32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<sst xmlns="http://schemas.openxmlformats.org/spreadsheetml/2006/main" count="648" uniqueCount="412">
  <si>
    <t xml:space="preserve">ECG xAI–AMI Benchmark Proposal — Team Reading &amp; Review List (Nhóm 2)</t>
  </si>
  <si>
    <t xml:space="preserve">Reviewers rotate: Vân → Nhân → Hùng → Tâm. Each paper has a Primary reviewer (leads the write-up) and a 2nd reviewer (next in rotation) who cross-checks for discussion. Use the Status dropdown to track progress.</t>
  </si>
  <si>
    <t xml:space="preserve">#</t>
  </si>
  <si>
    <t xml:space="preserve">Group</t>
  </si>
  <si>
    <t xml:space="preserve">Priority</t>
  </si>
  <si>
    <t xml:space="preserve">Venue</t>
  </si>
  <si>
    <t xml:space="preserve">Year</t>
  </si>
  <si>
    <t xml:space="preserve">Abb</t>
  </si>
  <si>
    <t xml:space="preserve">Paper title</t>
  </si>
  <si>
    <t xml:space="preserve">Dataset</t>
  </si>
  <si>
    <t xml:space="preserve">Link (paper / DOI / arXiv)</t>
  </si>
  <si>
    <t xml:space="preserve">Link (code / GitHub)</t>
  </si>
  <si>
    <t xml:space="preserve">Primary reviewer</t>
  </si>
  <si>
    <t xml:space="preserve">2nd reviewer (turn)</t>
  </si>
  <si>
    <t xml:space="preserve">Relevance to proposal (Aim)</t>
  </si>
  <si>
    <t xml:space="preserve">Status</t>
  </si>
  <si>
    <t xml:space="preserve">Notes</t>
  </si>
  <si>
    <t xml:space="preserve">A. Datasets</t>
  </si>
  <si>
    <t xml:space="preserve">Must-read</t>
  </si>
  <si>
    <t xml:space="preserve">Sci Data</t>
  </si>
  <si>
    <t xml:space="preserve">2020</t>
  </si>
  <si>
    <t xml:space="preserve">PTB-XL</t>
  </si>
  <si>
    <t xml:space="preserve">PTB-XL, a large publicly available electrocardiography dataset</t>
  </si>
  <si>
    <t xml:space="preserve">21,837 12-lead ECGs, 18,885 patients</t>
  </si>
  <si>
    <t xml:space="preserve">https://doi.org/10.1038/s41597-020-0495-6</t>
  </si>
  <si>
    <t xml:space="preserve">https://github.com/helme/ecg_ptbxl_benchmarking</t>
  </si>
  <si>
    <t xml:space="preserve">Vân</t>
  </si>
  <si>
    <t xml:space="preserve">Nhân</t>
  </si>
  <si>
    <t xml:space="preserve">Primary training / internal test set (Aim 1, Methods 5.1)</t>
  </si>
  <si>
    <t xml:space="preserve">Not started</t>
  </si>
  <si>
    <t xml:space="preserve">PhysioNet: https://physionet.org/content/ptb-xl/1.0.3/  (open access)</t>
  </si>
  <si>
    <t xml:space="preserve">PhysioNet</t>
  </si>
  <si>
    <t xml:space="preserve">2023</t>
  </si>
  <si>
    <t xml:space="preserve">MIMIC-IV-ECG</t>
  </si>
  <si>
    <t xml:space="preserve">MIMIC-IV-ECG: Diagnostic Electrocardiogram Matched Subset</t>
  </si>
  <si>
    <t xml:space="preserve">~800k 12-lead ECGs, ~160k patients</t>
  </si>
  <si>
    <t xml:space="preserve">https://physionet.org/content/mimic-iv-ecg/1.0/</t>
  </si>
  <si>
    <t xml:space="preserve">https://physionet.org/content/mimic-iv-ecg-demo/0.1/</t>
  </si>
  <si>
    <t xml:space="preserve">Hùng</t>
  </si>
  <si>
    <t xml:space="preserve">External-validation cohort (Aim 4)</t>
  </si>
  <si>
    <t xml:space="preserve">Needs PhysioNet credentialing (CITI + DUA). Demo link = open-access for pipeline testing.</t>
  </si>
  <si>
    <t xml:space="preserve">Core</t>
  </si>
  <si>
    <t xml:space="preserve">Chapman</t>
  </si>
  <si>
    <t xml:space="preserve">A 12-lead ECG database for arrhythmia research covering &gt;10,000 patients</t>
  </si>
  <si>
    <t xml:space="preserve">~10k+ 12-lead ECGs</t>
  </si>
  <si>
    <t xml:space="preserve">https://doi.org/10.1038/s41597-020-0386-x</t>
  </si>
  <si>
    <t xml:space="preserve">Tâm</t>
  </si>
  <si>
    <t xml:space="preserve">Optional robustness spot-check (rhythm-labeled, NOT MI)</t>
  </si>
  <si>
    <t xml:space="preserve">PhysioNet: https://physionet.org/content/ecg-arrhythmia/1.0.0/</t>
  </si>
  <si>
    <t xml:space="preserve">Physiol Meas</t>
  </si>
  <si>
    <t xml:space="preserve">CinC-2020</t>
  </si>
  <si>
    <t xml:space="preserve">Classification of 12-lead ECGs: the PhysioNet/Computing in Cardiology Challenge 2020</t>
  </si>
  <si>
    <t xml:space="preserve">Multi-database 12-lead (incl. MI)</t>
  </si>
  <si>
    <t xml:space="preserve">https://doi.org/10.1088/1361-6579/abc960</t>
  </si>
  <si>
    <t xml:space="preserve">https://physionet.org/content/challenge-2020/1.0.2/</t>
  </si>
  <si>
    <t xml:space="preserve">Alternative MI-labeled external set (Aim 4)</t>
  </si>
  <si>
    <t xml:space="preserve">Aggregated CPSC/Georgia/PTB-XL databases</t>
  </si>
  <si>
    <t xml:space="preserve">B. ECG DL models</t>
  </si>
  <si>
    <t xml:space="preserve">IEEE JBHI</t>
  </si>
  <si>
    <t xml:space="preserve">2021</t>
  </si>
  <si>
    <t xml:space="preserve">PTB-XL-bench</t>
  </si>
  <si>
    <t xml:space="preserve">Deep Learning for ECG Analysis: Benchmarks and Insights from PTB-XL</t>
  </si>
  <si>
    <t xml:space="preserve">https://doi.org/10.1109/JBHI.2020.3022989</t>
  </si>
  <si>
    <t xml:space="preserve">Baseline architectures + recommended splits (Aim 1)</t>
  </si>
  <si>
    <t xml:space="preserve">arXiv:2004.13701</t>
  </si>
  <si>
    <t xml:space="preserve">Eur Heart J Digit Health</t>
  </si>
  <si>
    <t xml:space="preserve">2025</t>
  </si>
  <si>
    <t xml:space="preserve">Conv-BiLSTM-Attn</t>
  </si>
  <si>
    <t xml:space="preserve">Multimodal deep learning for acute MI detection from 12-lead ECG: multi-centre study with cross-hospital validation</t>
  </si>
  <si>
    <t xml:space="preserve">145,656 ECGs, 3 Swedish hospitals</t>
  </si>
  <si>
    <t xml:space="preserve">https://www.ncbi.nlm.nih.gov/pmc/articles/PMC12853118/</t>
  </si>
  <si>
    <t xml:space="preserve">Template for external-validation protocol + Score-CAM (Aim 1/4)</t>
  </si>
  <si>
    <t xml:space="preserve">AUROC ~0.85 under cross-hospital validation</t>
  </si>
  <si>
    <t xml:space="preserve">Front Cardiovasc Med</t>
  </si>
  <si>
    <t xml:space="preserve">ResNet-MI</t>
  </si>
  <si>
    <t xml:space="preserve">Acute Myocardial Infarction Detection Using Deep Learning-Enabled Electrocardiograms</t>
  </si>
  <si>
    <t xml:space="preserve">PTB-XL (train) + Chapman (test)</t>
  </si>
  <si>
    <t xml:space="preserve">https://www.ncbi.nlm.nih.gov/pmc/articles/PMC8273385/</t>
  </si>
  <si>
    <t xml:space="preserve">Concrete ResNet MI baseline on PTB-XL (Aim 1)</t>
  </si>
  <si>
    <t xml:space="preserve">Residual network, MI vs normal</t>
  </si>
  <si>
    <t xml:space="preserve">C. ECG xAI (CORE)</t>
  </si>
  <si>
    <t xml:space="preserve">Comput Biol Med</t>
  </si>
  <si>
    <t xml:space="preserve">2024</t>
  </si>
  <si>
    <t xml:space="preserve">ECG-audit</t>
  </si>
  <si>
    <t xml:space="preserve">Explaining deep learning for ECG analysis: Building blocks for auditing and knowledge discovery</t>
  </si>
  <si>
    <t xml:space="preserve">https://arxiv.org/abs/2305.17043</t>
  </si>
  <si>
    <t xml:space="preserve">KEY — sanity checks show Grad-CAM FAILS (QRS bias), saliency passes (Aim 2b/2c)</t>
  </si>
  <si>
    <t xml:space="preserve">This is the contradiction the proposal adjudicates</t>
  </si>
  <si>
    <t xml:space="preserve">arXiv</t>
  </si>
  <si>
    <t xml:space="preserve">2022</t>
  </si>
  <si>
    <t xml:space="preserve">ECG-FA-eval</t>
  </si>
  <si>
    <t xml:space="preserve">Evaluating Feature Attribution Methods for the Electrocardiogram</t>
  </si>
  <si>
    <t xml:space="preserve">PTB-XL / ICBEB</t>
  </si>
  <si>
    <t xml:space="preserve">https://arxiv.org/abs/2211.12702</t>
  </si>
  <si>
    <t xml:space="preserve">Reports Grad-CAM BEST — opposite of #8; the puzzle to resolve (Aim 2)</t>
  </si>
  <si>
    <t xml:space="preserve">Implemented with Captum</t>
  </si>
  <si>
    <t xml:space="preserve">ECG-vis-eval</t>
  </si>
  <si>
    <t xml:space="preserve">Visual interpretation of deep learning model in ECG classification: a comprehensive evaluation of feature attribution methods</t>
  </si>
  <si>
    <t xml:space="preserve">12-lead ECG</t>
  </si>
  <si>
    <t xml:space="preserve">https://www.sciencedirect.com/science/article/abs/pii/S0010482524011739</t>
  </si>
  <si>
    <t xml:space="preserve">Localization/fidelity/robustness vs P/QRS/ST intervals (Aim 2c concordance)</t>
  </si>
  <si>
    <t xml:space="preserve">Directly informs the concordance metric</t>
  </si>
  <si>
    <t xml:space="preserve">ECG-xAI-SLR</t>
  </si>
  <si>
    <t xml:space="preserve">Explainable deep-learning techniques for ECG-based heart disease classification: a systematic review and future directions</t>
  </si>
  <si>
    <t xml:space="preserve">review</t>
  </si>
  <si>
    <t xml:space="preserve">https://www.sciencedirect.com/science/article/pii/S0010482525016786</t>
  </si>
  <si>
    <t xml:space="preserve">Landscape + explicit gap statements to cite (Intro / Gap)</t>
  </si>
  <si>
    <t xml:space="preserve">SHAP &gt; saliency &gt; Grad-CAM &gt; LIME in usage</t>
  </si>
  <si>
    <t xml:space="preserve">ECG-MI-GradCAM</t>
  </si>
  <si>
    <t xml:space="preserve">Explainable detection of myocardial infarction using deep learning models with Grad-CAM technique on ECG signals</t>
  </si>
  <si>
    <t xml:space="preserve">PTB-XL (MI)</t>
  </si>
  <si>
    <t xml:space="preserve">https://www.researchgate.net/publication/360167890</t>
  </si>
  <si>
    <t xml:space="preserve">Direct MI + Grad-CAM precedent to benchmark against (Aim 2)</t>
  </si>
  <si>
    <t xml:space="preserve">Verify final journal DOI before citing</t>
  </si>
  <si>
    <t xml:space="preserve">IEEE BIBE</t>
  </si>
  <si>
    <t xml:space="preserve">ECG-saliency</t>
  </si>
  <si>
    <t xml:space="preserve">Improving ECG classification interpretability using saliency maps</t>
  </si>
  <si>
    <t xml:space="preserve">https://doi.org/10.1109/BIBE50027.2020.00114</t>
  </si>
  <si>
    <t xml:space="preserve">Saliency-on-ECG precedent (Aim 2)</t>
  </si>
  <si>
    <t xml:space="preserve">Jones et al.</t>
  </si>
  <si>
    <t xml:space="preserve">D. xAI eval methods</t>
  </si>
  <si>
    <t xml:space="preserve">NeurIPS</t>
  </si>
  <si>
    <t xml:space="preserve">2018</t>
  </si>
  <si>
    <t xml:space="preserve">Sanity</t>
  </si>
  <si>
    <t xml:space="preserve">Sanity Checks for Saliency Maps</t>
  </si>
  <si>
    <t xml:space="preserve">MNIST/ImageNet</t>
  </si>
  <si>
    <t xml:space="preserve">https://arxiv.org/abs/1810.03292</t>
  </si>
  <si>
    <t xml:space="preserve">Model- &amp; data-randomization tests (Aim 2b)</t>
  </si>
  <si>
    <t xml:space="preserve">NOTE: already in 'Existing xAI papers' tab (assigned Toàn)</t>
  </si>
  <si>
    <t xml:space="preserve">2019</t>
  </si>
  <si>
    <t xml:space="preserve">ROAR</t>
  </si>
  <si>
    <t xml:space="preserve">A Benchmark for Interpretability Methods in DNNs (Remove-and-Retrain)</t>
  </si>
  <si>
    <t xml:space="preserve">ImageNet/CIFAR/Birdsnap</t>
  </si>
  <si>
    <t xml:space="preserve">https://arxiv.org/abs/1806.10758</t>
  </si>
  <si>
    <t xml:space="preserve">https://github.com/google-research/google-research/tree/master/interpretability_benchmark</t>
  </si>
  <si>
    <t xml:space="preserve">Remove-and-retrain faithfulness (Aim 2a)</t>
  </si>
  <si>
    <t xml:space="preserve">Hooker et al.</t>
  </si>
  <si>
    <t xml:space="preserve">BMVC</t>
  </si>
  <si>
    <t xml:space="preserve">RISE</t>
  </si>
  <si>
    <t xml:space="preserve">RISE: Randomized Input Sampling for Explanation of Black-box Models</t>
  </si>
  <si>
    <t xml:space="preserve">ImageNet</t>
  </si>
  <si>
    <t xml:space="preserve">https://arxiv.org/abs/1806.07421</t>
  </si>
  <si>
    <t xml:space="preserve">https://github.com/eclique/RISE</t>
  </si>
  <si>
    <t xml:space="preserve">Deletion/insertion faithfulness metric (Aim 2a)</t>
  </si>
  <si>
    <t xml:space="preserve">Petsiuk et al.</t>
  </si>
  <si>
    <t xml:space="preserve">IEEE TNNLS</t>
  </si>
  <si>
    <t xml:space="preserve">2017</t>
  </si>
  <si>
    <t xml:space="preserve">AOPC</t>
  </si>
  <si>
    <t xml:space="preserve">Evaluating the visualization of what a deep neural network has learned</t>
  </si>
  <si>
    <t xml:space="preserve">https://arxiv.org/abs/1509.06321</t>
  </si>
  <si>
    <t xml:space="preserve">Perturbation / AOPC faithfulness curve (Aim 2a)</t>
  </si>
  <si>
    <t xml:space="preserve">DOI 10.1109/TNNLS.2016.2599820</t>
  </si>
  <si>
    <t xml:space="preserve">Disagree</t>
  </si>
  <si>
    <t xml:space="preserve">The Disagreement Problem in Explainable ML: A Practitioner's Perspective</t>
  </si>
  <si>
    <t xml:space="preserve">tabular/user study</t>
  </si>
  <si>
    <t xml:space="preserve">https://arxiv.org/abs/2202.01602</t>
  </si>
  <si>
    <t xml:space="preserve">Cross-method disagreement framing (Aim 2d)</t>
  </si>
  <si>
    <t xml:space="preserve">Krishna et al.</t>
  </si>
  <si>
    <t xml:space="preserve">JMLR</t>
  </si>
  <si>
    <t xml:space="preserve">Quantus</t>
  </si>
  <si>
    <t xml:space="preserve">Quantus: An Explainable AI Toolkit for Responsible Evaluation of Neural Network Explanations</t>
  </si>
  <si>
    <t xml:space="preserve">—</t>
  </si>
  <si>
    <t xml:space="preserve">https://arxiv.org/abs/2202.06861</t>
  </si>
  <si>
    <t xml:space="preserve">https://github.com/understandable-machine-intelligence-lab/Quantus</t>
  </si>
  <si>
    <t xml:space="preserve">Ready-made faithfulness/robustness/localization metrics (Aim 2)</t>
  </si>
  <si>
    <t xml:space="preserve">30+ metrics — main eval engine</t>
  </si>
  <si>
    <t xml:space="preserve">NeurIPS D&amp;B</t>
  </si>
  <si>
    <t xml:space="preserve">OpenXAI</t>
  </si>
  <si>
    <t xml:space="preserve">OpenXAI: Towards a Transparent Evaluation of Post hoc Model Explanations</t>
  </si>
  <si>
    <t xml:space="preserve">tabular</t>
  </si>
  <si>
    <t xml:space="preserve">https://arxiv.org/abs/2206.11104</t>
  </si>
  <si>
    <t xml:space="preserve">https://github.com/AI4LIFE-GROUP/OpenXAI</t>
  </si>
  <si>
    <t xml:space="preserve">Benchmark scaffold to adapt for ECG (Aim 2)</t>
  </si>
  <si>
    <t xml:space="preserve">Agarwal/Lakkaraju et al.</t>
  </si>
  <si>
    <t xml:space="preserve">E. Counterfactual</t>
  </si>
  <si>
    <t xml:space="preserve">Optional</t>
  </si>
  <si>
    <t xml:space="preserve">FAT*</t>
  </si>
  <si>
    <t xml:space="preserve">DiCE</t>
  </si>
  <si>
    <t xml:space="preserve">Explaining Machine Learning Classifiers through Diverse Counterfactual Explanations</t>
  </si>
  <si>
    <t xml:space="preserve">https://arxiv.org/abs/1905.07697</t>
  </si>
  <si>
    <t xml:space="preserve">https://github.com/interpretml/DiCE</t>
  </si>
  <si>
    <t xml:space="preserve">Optional actionable-explanation extension (Discussion)</t>
  </si>
  <si>
    <t xml:space="preserve">Mothilal et al.</t>
  </si>
  <si>
    <t xml:space="preserve">F. Reporting/clinical</t>
  </si>
  <si>
    <t xml:space="preserve">BMJ</t>
  </si>
  <si>
    <t xml:space="preserve">TRIPOD+AI</t>
  </si>
  <si>
    <t xml:space="preserve">TRIPOD+AI statement: reporting guideline for clinical prediction models using AI</t>
  </si>
  <si>
    <t xml:space="preserve">https://doi.org/10.1136/bmj-2023-078378</t>
  </si>
  <si>
    <t xml:space="preserve">Reporting checklist for the manuscript (Methods 5.9)</t>
  </si>
  <si>
    <t xml:space="preserve">Collins et al.</t>
  </si>
  <si>
    <t xml:space="preserve">Nat Mach Intell</t>
  </si>
  <si>
    <t xml:space="preserve">Rudin</t>
  </si>
  <si>
    <t xml:space="preserve">Stop explaining black box ML models for high-stakes decisions and use interpretable models instead</t>
  </si>
  <si>
    <t xml:space="preserve">https://arxiv.org/abs/1811.10154</t>
  </si>
  <si>
    <t xml:space="preserve">Counter-argument to engage in Discussion</t>
  </si>
  <si>
    <t xml:space="preserve">DOI 10.1038/s42256-019-0048-x</t>
  </si>
  <si>
    <t xml:space="preserve">Assignment summary (auto-counts from the review list)</t>
  </si>
  <si>
    <t xml:space="preserve">Member</t>
  </si>
  <si>
    <t xml:space="preserve"># as Primary</t>
  </si>
  <si>
    <t xml:space="preserve"># as 2nd (turn)</t>
  </si>
  <si>
    <t xml:space="preserve">Total papers touched</t>
  </si>
  <si>
    <t xml:space="preserve">Progress</t>
  </si>
  <si>
    <t xml:space="preserve">Total papers</t>
  </si>
  <si>
    <t xml:space="preserve">Done</t>
  </si>
  <si>
    <t xml:space="preserve">In progress</t>
  </si>
  <si>
    <t xml:space="preserve">Original team list (preserved as-is) — general xAI attribution methods</t>
  </si>
  <si>
    <t xml:space="preserve">Name</t>
  </si>
  <si>
    <t xml:space="preserve">Link paper</t>
  </si>
  <si>
    <t xml:space="preserve">Link Code</t>
  </si>
  <si>
    <t xml:space="preserve">Added by</t>
  </si>
  <si>
    <t xml:space="preserve">Note</t>
  </si>
  <si>
    <t xml:space="preserve">Assign</t>
  </si>
  <si>
    <t xml:space="preserve">Read</t>
  </si>
  <si>
    <t xml:space="preserve">Explainable Artificial Intelligence: ASurvey of Needs, Techniques, Applications, and Future Direction</t>
  </si>
  <si>
    <t xml:space="preserve">https://arxiv.org/pdf/2409.00265</t>
  </si>
  <si>
    <t xml:space="preserve">SURVEY ĐỂ ĐỌC CUỐI</t>
  </si>
  <si>
    <t xml:space="preserve">False</t>
  </si>
  <si>
    <t xml:space="preserve">WACV</t>
  </si>
  <si>
    <t xml:space="preserve">CAMELYON16, TCGA-Lung, TCGA-RCC</t>
  </si>
  <si>
    <t xml:space="preserve">CIG</t>
  </si>
  <si>
    <t xml:space="preserve">Contrastive Integrated Gradients: A Feature Attribution-Based Method for
Explaining Whole Slide Image Classification</t>
  </si>
  <si>
    <t xml:space="preserve">https://arxiv.org/pdf/2511.08464</t>
  </si>
  <si>
    <t xml:space="preserve">https://github.com/maianhpuco/CIG</t>
  </si>
  <si>
    <t xml:space="preserve">VA</t>
  </si>
  <si>
    <t xml:space="preserve">xAI + classification</t>
  </si>
  <si>
    <t xml:space="preserve">Lan Anh</t>
  </si>
  <si>
    <t xml:space="preserve">ICLR</t>
  </si>
  <si>
    <t xml:space="preserve">MNIST, CIFAR-10</t>
  </si>
  <si>
    <t xml:space="preserve">Gradient</t>
  </si>
  <si>
    <t xml:space="preserve">Towards better understanding of gradient-based attribution methods for Deep Neural Networks</t>
  </si>
  <si>
    <t xml:space="preserve">https://arxiv.org/abs/1711.06104</t>
  </si>
  <si>
    <t xml:space="preserve">Note: https://www.notion.so/Gradient-2018-371432a9c5548071922cf8acf86e7eb4?source=copy_link</t>
  </si>
  <si>
    <t xml:space="preserve">True</t>
  </si>
  <si>
    <t xml:space="preserve">EG
(expected gradients)</t>
  </si>
  <si>
    <t xml:space="preserve">Visualizing the Impact of Feature Attribution Baselines</t>
  </si>
  <si>
    <t xml:space="preserve">https://distill.pub/2020/attribution-baselines/</t>
  </si>
  <si>
    <t xml:space="preserve">https://github.com/distillpub/post--attribution-baselines</t>
  </si>
  <si>
    <t xml:space="preserve">IDG</t>
  </si>
  <si>
    <t xml:space="preserve">Integrated Decision Gradients: Compute Your Attributions Where the Model
Makes Its Decision</t>
  </si>
  <si>
    <t xml:space="preserve">https://arxiv.org/pdf/2305.20052</t>
  </si>
  <si>
    <t xml:space="preserve">https://github.com/chasewalker26/Integrated-Decision-Gradients</t>
  </si>
  <si>
    <t xml:space="preserve">ICML</t>
  </si>
  <si>
    <t xml:space="preserve">MNIST, ILSVRC</t>
  </si>
  <si>
    <t xml:space="preserve">IG</t>
  </si>
  <si>
    <t xml:space="preserve">Axiomatic Attribution for Deep Networks</t>
  </si>
  <si>
    <t xml:space="preserve">https://arxiv.org/pdf/1703.01365</t>
  </si>
  <si>
    <t xml:space="preserve">https://github.com/ankurtaly/Integrated-Gradients</t>
  </si>
  <si>
    <t xml:space="preserve">Note: https://drive.google.com/file/d/1VeC_cKcyGFVa4REOZIk1aXXUyUG1lW1W/view?usp=sharing</t>
  </si>
  <si>
    <t xml:space="preserve">Under review - ICLR 2017</t>
  </si>
  <si>
    <t xml:space="preserve">2016</t>
  </si>
  <si>
    <t xml:space="preserve">GRADIENTS OF COUNTERFACTUALS</t>
  </si>
  <si>
    <t xml:space="preserve">https://arxiv.org/pdf/1611.02639</t>
  </si>
  <si>
    <t xml:space="preserve">thấy giống bài IG</t>
  </si>
  <si>
    <t xml:space="preserve">2026</t>
  </si>
  <si>
    <t xml:space="preserve">MA-GIG</t>
  </si>
  <si>
    <t xml:space="preserve">Manifold-Aligned Guided Integrated Gradients for Reliable Feature Attribution</t>
  </si>
  <si>
    <t xml:space="preserve">https://arxiv.org/pdf/2605.02167</t>
  </si>
  <si>
    <t xml:space="preserve">https://github.com/leekwoon/ma-gig/</t>
  </si>
  <si>
    <t xml:space="preserve">Greedy PIG</t>
  </si>
  <si>
    <t xml:space="preserve">Greedy PIG: Adaptive Integrated Gradients</t>
  </si>
  <si>
    <t xml:space="preserve">https://arxiv.org/pdf/2311.06192</t>
  </si>
  <si>
    <t xml:space="preserve">phát triển từ bài IG</t>
  </si>
  <si>
    <t xml:space="preserve">IGU-LORA</t>
  </si>
  <si>
    <t xml:space="preserve">IGU-LORA: ADAPTIVE RANK ALLOCATION VIA INTEGRATED GRADIENTS AND UNCERTAINTY-AWARE
SCORING</t>
  </si>
  <si>
    <t xml:space="preserve">https://arxiv.org/pdf/2603.13792</t>
  </si>
  <si>
    <t xml:space="preserve">https://github.com/withyou12/igulora</t>
  </si>
  <si>
    <t xml:space="preserve">apply IG vào lora</t>
  </si>
  <si>
    <t xml:space="preserve">LIG</t>
  </si>
  <si>
    <t xml:space="preserve">Investigating Saturation Effects in Integrated Gradients</t>
  </si>
  <si>
    <t xml:space="preserve">https://arxiv.org/pdf/2010.12697</t>
  </si>
  <si>
    <t xml:space="preserve">https://github.com/vivekmig/captum-1/tree/ExpandedIG</t>
  </si>
  <si>
    <t xml:space="preserve">Split IG Dataset: ImageNet. Split IG into Left + Right IG</t>
  </si>
  <si>
    <t xml:space="preserve">Đạt</t>
  </si>
  <si>
    <t xml:space="preserve">GIG</t>
  </si>
  <si>
    <t xml:space="preserve">Guided Integrated Gradients: an Adaptive Path Method for Removing Noise</t>
  </si>
  <si>
    <t xml:space="preserve">https://arxiv.org/pdf/2106.09788</t>
  </si>
  <si>
    <t xml:space="preserve">https://github.com/pair-code/saliency</t>
  </si>
  <si>
    <t xml:space="preserve">AGI</t>
  </si>
  <si>
    <t xml:space="preserve">Explaining Deep Neural Network Models with Adversarial Gradient Integration</t>
  </si>
  <si>
    <t xml:space="preserve">https://www.ijcai.org/proceedings/2021/0396.pdf</t>
  </si>
  <si>
    <t xml:space="preserve">https://github.com/pd90506/AGI</t>
  </si>
  <si>
    <t xml:space="preserve">MNIST</t>
  </si>
  <si>
    <t xml:space="preserve">2009</t>
  </si>
  <si>
    <t xml:space="preserve">Vanilla Gradients</t>
  </si>
  <si>
    <t xml:space="preserve">Visualizing Higher-Layer Features of a Deep Network</t>
  </si>
  <si>
    <t xml:space="preserve">https://papers.baulab.info/papers/also/Erhan-2009.pdf</t>
  </si>
  <si>
    <t xml:space="preserve">Activation maximization. Note bài: Vanila Gradients, Dataset: MNIST, Model: DBN &amp; SDAE - stacks of independent layers - main contribution: find a image prototype that maximize the activation layer of a trained model</t>
  </si>
  <si>
    <t xml:space="preserve">XRAI</t>
  </si>
  <si>
    <t xml:space="preserve">XRAI: Better Attributions Through Regions</t>
  </si>
  <si>
    <t xml:space="preserve">https://arxiv.org/abs/1906.02825</t>
  </si>
  <si>
    <t xml:space="preserve">MNSIT + ImageNet</t>
  </si>
  <si>
    <t xml:space="preserve">SmoothGrad</t>
  </si>
  <si>
    <t xml:space="preserve">SmoothGrad: removing noise by adding noise</t>
  </si>
  <si>
    <t xml:space="preserve">https://arxiv.org/abs/1706.03825</t>
  </si>
  <si>
    <t xml:space="preserve">Note: SmoothGrad</t>
  </si>
  <si>
    <t xml:space="preserve">2015</t>
  </si>
  <si>
    <t xml:space="preserve">Guided Backpropogation</t>
  </si>
  <si>
    <t xml:space="preserve">Striving for Simplicity: The All Convolutional Net</t>
  </si>
  <si>
    <t xml:space="preserve">https://arxiv.org/abs/1412.6806</t>
  </si>
  <si>
    <t xml:space="preserve">Blur IG</t>
  </si>
  <si>
    <t xml:space="preserve">Attribution in Scale and Space</t>
  </si>
  <si>
    <t xml:space="preserve">https://arxiv.org/pdf/2004.03383</t>
  </si>
  <si>
    <t xml:space="preserve">https://github.com/ankurtaly/integrated-gradients</t>
  </si>
  <si>
    <t xml:space="preserve">2014</t>
  </si>
  <si>
    <t xml:space="preserve">ConvNet</t>
  </si>
  <si>
    <t xml:space="preserve">Deep Inside Convolutional Networks: Visualising Image Classification Models and Saliency Maps</t>
  </si>
  <si>
    <t xml:space="preserve">https://arxiv.org/abs/1312.6034</t>
  </si>
  <si>
    <t xml:space="preserve">Activation maximization (unnormalized class score) + saliency map</t>
  </si>
  <si>
    <t xml:space="preserve">Grad-CAM</t>
  </si>
  <si>
    <t xml:space="preserve">Grad-CAM: Visual Explanations from Deep Networks via Gradient-based Localization</t>
  </si>
  <si>
    <t xml:space="preserve">https://arxiv.org/pdf/1610.02391</t>
  </si>
  <si>
    <t xml:space="preserve">https://github.com/ramprs/grad-cam/</t>
  </si>
  <si>
    <t xml:space="preserve">Toàn</t>
  </si>
  <si>
    <t xml:space="preserve">Grad-CAM++</t>
  </si>
  <si>
    <t xml:space="preserve">Grad-CAM++: Improved Visual Explanations for Deep Convolutional Networks</t>
  </si>
  <si>
    <t xml:space="preserve">https://arxiv.org/pdf/1710.11063</t>
  </si>
  <si>
    <t xml:space="preserve">https://github.com/adityac94/Grad_CAM_plus_plus</t>
  </si>
  <si>
    <t xml:space="preserve">MNIST,  TAL-GATA (data về DNA)</t>
  </si>
  <si>
    <t xml:space="preserve">2016
newer version - 2017</t>
  </si>
  <si>
    <t xml:space="preserve">DeepLift</t>
  </si>
  <si>
    <t xml:space="preserve">Not Just A Black Box:
Learning Important Features Through Propagating Activation Differences</t>
  </si>
  <si>
    <t xml:space="preserve">https://arxiv.org/abs/1605.01713
newer version: https://arxiv.org/abs/1704.02685</t>
  </si>
  <si>
    <t xml:space="preserve">https://github.com/kundajelab/deeplift</t>
  </si>
  <si>
    <t xml:space="preserve">Model bài dùng:
Two convolutional layers, followed by a fully connected layer, followed by the softmax output layer, 
Used convolutions with stride &gt; 1 instead of pooling layers
Note bài present: 
https://github.com/thailevann/research-paper-notes-vi/blob/main/DeepLift.pdf</t>
  </si>
  <si>
    <t xml:space="preserve">NIPS</t>
  </si>
  <si>
    <t xml:space="preserve">SHAP</t>
  </si>
  <si>
    <t xml:space="preserve">A Unified Approach to Interpreting Model Predictions</t>
  </si>
  <si>
    <t xml:space="preserve">https://papers.nips.cc/paper_files/paper/2017/hash/8a20a8621978632d76c43dfd28b67767-Abstract.html</t>
  </si>
  <si>
    <t xml:space="preserve">https://github.com/slundberg/shap</t>
  </si>
  <si>
    <t xml:space="preserve">https://github.com/thailevann/research-paper-notes-vi/blob/main/SHAP.pdf</t>
  </si>
  <si>
    <t xml:space="preserve">Nature Machine Intelligence</t>
  </si>
  <si>
    <t xml:space="preserve">Explainable AI for Trees: From Local Explanations to Global Understanding</t>
  </si>
  <si>
    <t xml:space="preserve">https://arxiv.org/abs/1905.04610</t>
  </si>
  <si>
    <t xml:space="preserve">72 pages</t>
  </si>
  <si>
    <t xml:space="preserve">NeurIPS 2018</t>
  </si>
  <si>
    <t xml:space="preserve">https://arxiv.org/pdf/1810.03292</t>
  </si>
  <si>
    <t xml:space="preserve">Preprint</t>
  </si>
  <si>
    <t xml:space="preserve">FRInGe: Distribution-Space Integrated Gradients
with Fisher–Rao Geometry</t>
  </si>
  <si>
    <t xml:space="preserve">https://arxiv.org/pdf/2605.06404</t>
  </si>
  <si>
    <t xml:space="preserve">Intelligent Systems Conference 2019</t>
  </si>
  <si>
    <t xml:space="preserve">Smooth Grad-CAM++</t>
  </si>
  <si>
    <t xml:space="preserve">Smooth Grad-CAM++: An Enhanced Inference
Level Visualization Technique for Deep
Convolutional Neural Network Models</t>
  </si>
  <si>
    <t xml:space="preserve">https://arxiv.org/pdf/1908.01224</t>
  </si>
  <si>
    <t xml:space="preserve">KDD</t>
  </si>
  <si>
    <t xml:space="preserve">LIME</t>
  </si>
  <si>
    <t xml:space="preserve">“Why Should I Trust You?”
Explaining the Predictions of Any Classifier</t>
  </si>
  <si>
    <t xml:space="preserve">https://arxiv.org/pdf/1602.04938</t>
  </si>
  <si>
    <t xml:space="preserve">marcotcr/lime-experiments: Code for all experiments. · GitHub</t>
  </si>
  <si>
    <t xml:space="preserve">Knowledge and Information Systems</t>
  </si>
  <si>
    <t xml:space="preserve">2013</t>
  </si>
  <si>
    <t xml:space="preserve">Explaining prediction models and individual predictions with feature contributions</t>
  </si>
  <si>
    <t xml:space="preserve">https://link.springer.com/article/10.1007/s10115-013-0679-x?fbclid=IwY2xjawSIe_JleHRuA2FlbQIxMABicmlkETFrdUxmUHRJTEhySVd5OXBtc3J0YwZhcHBfaWQQMjIyMDM5MTc4ODIwMDg5MgABHtomdRCRM5c4rd4axbGaGFkhBz6oLBP-5dnyE-5m_3J3j3fnc7eGZgaXsfvw_aem_ygAh0xr0ogRLieyXA-2EZQ 
Pdf đã tải: https://drive.google.com/file/d/1l_J4Rrq9lDVcrzlWevDn197n9shXNKV1/view?usp=sharing</t>
  </si>
  <si>
    <t xml:space="preserve">CVPR'16</t>
  </si>
  <si>
    <t xml:space="preserve">classification: ILSVRC 2014
fine-grained classification: CUB-200-2011</t>
  </si>
  <si>
    <t xml:space="preserve">CAM</t>
  </si>
  <si>
    <t xml:space="preserve">Learning Deep Features for Discriminative Localization</t>
  </si>
  <si>
    <t xml:space="preserve">https://arxiv.org/pdf/1512.04150</t>
  </si>
  <si>
    <t xml:space="preserve">https://github.com/zhoubolei/CAM</t>
  </si>
  <si>
    <t xml:space="preserve">https://app.notion.com/p/Learning-Deep-Features-for-Discriminative-Localization-378af1f4ea558044bbd1c06cd09f1912?source=copy_link</t>
  </si>
  <si>
    <t xml:space="preserve">Datasets &amp; code/tooling — quick links for the project</t>
  </si>
  <si>
    <t xml:space="preserve">Type</t>
  </si>
  <si>
    <t xml:space="preserve">Link</t>
  </si>
  <si>
    <t xml:space="preserve">Notes / access</t>
  </si>
  <si>
    <t xml:space="preserve">PTB-XL v1.0.3 (PhysioNet)</t>
  </si>
  <si>
    <t xml:space="preserve">https://physionet.org/content/ptb-xl/1.0.3/</t>
  </si>
  <si>
    <t xml:space="preserve">Open access. Primary training/test set.</t>
  </si>
  <si>
    <t xml:space="preserve">PTB-XL paper (Sci Data)</t>
  </si>
  <si>
    <t xml:space="preserve">Cite this for PTB-XL.</t>
  </si>
  <si>
    <t xml:space="preserve">MIMIC-IV-ECG v1.0 (PhysioNet)</t>
  </si>
  <si>
    <t xml:space="preserve">Credentialed access (CITI + DUA). External validation.</t>
  </si>
  <si>
    <t xml:space="preserve">MIMIC-IV-ECG Demo v0.1</t>
  </si>
  <si>
    <t xml:space="preserve">Open access — prototype pipeline before credentialing.</t>
  </si>
  <si>
    <t xml:space="preserve">Chapman–Shaoxing–Ningbo v1.0.0</t>
  </si>
  <si>
    <t xml:space="preserve">https://physionet.org/content/ecg-arrhythmia/1.0.0/</t>
  </si>
  <si>
    <t xml:space="preserve">Rhythm-labeled; robustness spot-check only.</t>
  </si>
  <si>
    <t xml:space="preserve">PhysioNet/CinC Challenge 2020</t>
  </si>
  <si>
    <t xml:space="preserve">Aggregated MI-labeled DBs — alt. external set.</t>
  </si>
  <si>
    <t xml:space="preserve">Code</t>
  </si>
  <si>
    <t xml:space="preserve">PTB-XL benchmarking (helme)</t>
  </si>
  <si>
    <t xml:space="preserve">Baseline models + recommended splits.</t>
  </si>
  <si>
    <t xml:space="preserve">Tool</t>
  </si>
  <si>
    <t xml:space="preserve">Captum (PyTorch attributions)</t>
  </si>
  <si>
    <t xml:space="preserve">https://captum.ai/</t>
  </si>
  <si>
    <t xml:space="preserve">Grad-CAM, IG, DeepLIFT, Saliency, etc.</t>
  </si>
  <si>
    <t xml:space="preserve">Quantus (XAI eval metrics)</t>
  </si>
  <si>
    <t xml:space="preserve">Faithfulness / robustness / localization metrics.</t>
  </si>
  <si>
    <t xml:space="preserve">OpenXAI (benchmark scaffold)</t>
  </si>
  <si>
    <t xml:space="preserve">Evaluation protocol to adapt.</t>
  </si>
  <si>
    <t xml:space="preserve">NeuroKit2 (ECG delineation)</t>
  </si>
  <si>
    <t xml:space="preserve">https://github.com/neuropsychology/NeuroKit</t>
  </si>
  <si>
    <t xml:space="preserve">P/QRS/ST windows for the concordance metric.</t>
  </si>
  <si>
    <t xml:space="preserve">RISE (deletion/insertion)</t>
  </si>
  <si>
    <t xml:space="preserve">Faithfulness curves.</t>
  </si>
  <si>
    <t xml:space="preserve">DiCE (counterfactuals)</t>
  </si>
  <si>
    <t xml:space="preserve">Optional actionable-explanation extension.</t>
  </si>
  <si>
    <t xml:space="preserve">ECG xAI–AMI Benchmark Proposal — Team Reading List (Nhóm 2)</t>
  </si>
  <si>
    <t xml:space="preserve">Purpose: curated papers to review and discuss for the proposal "Do ECG Deep-Learning Explanations Point Where Cardiologists Look?"</t>
  </si>
  <si>
    <t xml:space="preserve">Tabs:</t>
  </si>
  <si>
    <t xml:space="preserve">  • ECG-xAI-AMI Review — the main reading list, grouped A–F, with Primary + 2nd reviewer per paper and a Status dropdown.</t>
  </si>
  <si>
    <t xml:space="preserve">  • By Member — auto-counts of each person's Primary / 2nd assignments and overall progress.</t>
  </si>
  <si>
    <t xml:space="preserve">  • Existing xAI papers — your original list, preserved unchanged.</t>
  </si>
  <si>
    <t xml:space="preserve">  • Datasets &amp; Tools — quick links to datasets, code, and toolkits.</t>
  </si>
  <si>
    <t xml:space="preserve">Rotation rule:</t>
  </si>
  <si>
    <t xml:space="preserve">  Reviewers rotate in the order  Vân → Nhân → Hùng → Tâm  (then repeat).</t>
  </si>
  <si>
    <t xml:space="preserve">  Each paper's Primary reviewer writes the summary; the 2nd reviewer (next person in the rotation) cross-checks and co-presents at discussion.</t>
  </si>
  <si>
    <t xml:space="preserve">  Load is balanced: Vân 6 / Nhân 6 / Hùng 6 / Tâm 5 as Primary.</t>
  </si>
  <si>
    <t xml:space="preserve">Priority legend:</t>
  </si>
  <si>
    <t xml:space="preserve">  Must-read = read first (core to the method). Core = read for the write-up. Optional = extension / discussion only.</t>
  </si>
  <si>
    <t xml:space="preserve">Groups:</t>
  </si>
  <si>
    <t xml:space="preserve">  A Datasets · B ECG DL models · C ECG-specific xAI evaluation (CORE) · D general xAI evaluation methods · E Counterfactual · F Reporting/clinical.</t>
  </si>
  <si>
    <t xml:space="preserve">Note: the original survey-rotation note in your CSV was: Lan Anh → Đạt → Nhân → Toàn → Tâm → Vân (kept in the Existing tab).</t>
  </si>
  <si>
    <t xml:space="preserve">Please verify each DOI/arXiv/GitHub link opens correctly before formal citation.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</si>
</sst>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7F7F7F"/>
      <name val="Arial"/>
      <family val="0"/>
      <charset val="1"/>
    </font>
    <font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7F7F7F"/>
        <bgColor rgb="FF969696"/>
      </patternFill>
    </fill>
    <fill>
      <patternFill patternType="solid">
        <fgColor rgb="FF2E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38/s41597-020-0495-6" TargetMode="External"/><Relationship Id="rId2" Type="http://schemas.openxmlformats.org/officeDocument/2006/relationships/hyperlink" Target="https://github.com/helme/ecg_ptbxl_benchmarking" TargetMode="External"/><Relationship Id="rId3" Type="http://schemas.openxmlformats.org/officeDocument/2006/relationships/hyperlink" Target="https://physionet.org/content/mimic-iv-ecg/1.0/" TargetMode="External"/><Relationship Id="rId4" Type="http://schemas.openxmlformats.org/officeDocument/2006/relationships/hyperlink" Target="https://physionet.org/content/mimic-iv-ecg-demo/0.1/" TargetMode="External"/><Relationship Id="rId5" Type="http://schemas.openxmlformats.org/officeDocument/2006/relationships/hyperlink" Target="https://doi.org/10.1038/s41597-020-0386-x" TargetMode="External"/><Relationship Id="rId6" Type="http://schemas.openxmlformats.org/officeDocument/2006/relationships/hyperlink" Target="https://doi.org/10.1088/1361-6579/abc960" TargetMode="External"/><Relationship Id="rId7" Type="http://schemas.openxmlformats.org/officeDocument/2006/relationships/hyperlink" Target="https://physionet.org/content/challenge-2020/1.0.2/" TargetMode="External"/><Relationship Id="rId8" Type="http://schemas.openxmlformats.org/officeDocument/2006/relationships/hyperlink" Target="https://doi.org/10.1109/JBHI.2020.3022989" TargetMode="External"/><Relationship Id="rId9" Type="http://schemas.openxmlformats.org/officeDocument/2006/relationships/hyperlink" Target="https://github.com/helme/ecg_ptbxl_benchmarking" TargetMode="External"/><Relationship Id="rId10" Type="http://schemas.openxmlformats.org/officeDocument/2006/relationships/hyperlink" Target="https://www.ncbi.nlm.nih.gov/pmc/articles/PMC12853118/" TargetMode="External"/><Relationship Id="rId11" Type="http://schemas.openxmlformats.org/officeDocument/2006/relationships/hyperlink" Target="https://www.ncbi.nlm.nih.gov/pmc/articles/PMC8273385/" TargetMode="External"/><Relationship Id="rId12" Type="http://schemas.openxmlformats.org/officeDocument/2006/relationships/hyperlink" Target="https://arxiv.org/abs/2305.17043" TargetMode="External"/><Relationship Id="rId13" Type="http://schemas.openxmlformats.org/officeDocument/2006/relationships/hyperlink" Target="https://arxiv.org/abs/2211.12702" TargetMode="External"/><Relationship Id="rId14" Type="http://schemas.openxmlformats.org/officeDocument/2006/relationships/hyperlink" Target="https://www.sciencedirect.com/science/article/abs/pii/S0010482524011739" TargetMode="External"/><Relationship Id="rId15" Type="http://schemas.openxmlformats.org/officeDocument/2006/relationships/hyperlink" Target="https://www.sciencedirect.com/science/article/pii/S0010482525016786" TargetMode="External"/><Relationship Id="rId16" Type="http://schemas.openxmlformats.org/officeDocument/2006/relationships/hyperlink" Target="https://www.researchgate.net/publication/360167890" TargetMode="External"/><Relationship Id="rId17" Type="http://schemas.openxmlformats.org/officeDocument/2006/relationships/hyperlink" Target="https://doi.org/10.1109/BIBE50027.2020.00114" TargetMode="External"/><Relationship Id="rId18" Type="http://schemas.openxmlformats.org/officeDocument/2006/relationships/hyperlink" Target="https://arxiv.org/abs/1810.03292" TargetMode="External"/><Relationship Id="rId19" Type="http://schemas.openxmlformats.org/officeDocument/2006/relationships/hyperlink" Target="https://arxiv.org/abs/1806.10758" TargetMode="External"/><Relationship Id="rId20" Type="http://schemas.openxmlformats.org/officeDocument/2006/relationships/hyperlink" Target="https://github.com/google-research/google-research/tree/master/interpretability_benchmark" TargetMode="External"/><Relationship Id="rId21" Type="http://schemas.openxmlformats.org/officeDocument/2006/relationships/hyperlink" Target="https://arxiv.org/abs/1806.07421" TargetMode="External"/><Relationship Id="rId22" Type="http://schemas.openxmlformats.org/officeDocument/2006/relationships/hyperlink" Target="https://github.com/eclique/RISE" TargetMode="External"/><Relationship Id="rId23" Type="http://schemas.openxmlformats.org/officeDocument/2006/relationships/hyperlink" Target="https://arxiv.org/abs/1509.06321" TargetMode="External"/><Relationship Id="rId24" Type="http://schemas.openxmlformats.org/officeDocument/2006/relationships/hyperlink" Target="https://arxiv.org/abs/2202.01602" TargetMode="External"/><Relationship Id="rId25" Type="http://schemas.openxmlformats.org/officeDocument/2006/relationships/hyperlink" Target="https://arxiv.org/abs/2202.06861" TargetMode="External"/><Relationship Id="rId26" Type="http://schemas.openxmlformats.org/officeDocument/2006/relationships/hyperlink" Target="https://github.com/understandable-machine-intelligence-lab/Quantus" TargetMode="External"/><Relationship Id="rId27" Type="http://schemas.openxmlformats.org/officeDocument/2006/relationships/hyperlink" Target="https://arxiv.org/abs/2206.11104" TargetMode="External"/><Relationship Id="rId28" Type="http://schemas.openxmlformats.org/officeDocument/2006/relationships/hyperlink" Target="https://github.com/AI4LIFE-GROUP/OpenXAI" TargetMode="External"/><Relationship Id="rId29" Type="http://schemas.openxmlformats.org/officeDocument/2006/relationships/hyperlink" Target="https://arxiv.org/abs/1905.07697" TargetMode="External"/><Relationship Id="rId30" Type="http://schemas.openxmlformats.org/officeDocument/2006/relationships/hyperlink" Target="https://github.com/interpretml/DiCE" TargetMode="External"/><Relationship Id="rId31" Type="http://schemas.openxmlformats.org/officeDocument/2006/relationships/hyperlink" Target="https://doi.org/10.1136/bmj-2023-078378" TargetMode="External"/><Relationship Id="rId32" Type="http://schemas.openxmlformats.org/officeDocument/2006/relationships/hyperlink" Target="https://arxiv.org/abs/1811.10154" TargetMode="External"/><Relationship Id="rId3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rxiv.org/pdf/2409.00265" TargetMode="External"/><Relationship Id="rId2" Type="http://schemas.openxmlformats.org/officeDocument/2006/relationships/hyperlink" Target="https://arxiv.org/pdf/2511.08464" TargetMode="External"/><Relationship Id="rId3" Type="http://schemas.openxmlformats.org/officeDocument/2006/relationships/hyperlink" Target="https://github.com/maianhpuco/CIG" TargetMode="External"/><Relationship Id="rId4" Type="http://schemas.openxmlformats.org/officeDocument/2006/relationships/hyperlink" Target="https://arxiv.org/abs/1711.06104" TargetMode="External"/><Relationship Id="rId5" Type="http://schemas.openxmlformats.org/officeDocument/2006/relationships/hyperlink" Target="https://distill.pub/2020/attribution-baselines/" TargetMode="External"/><Relationship Id="rId6" Type="http://schemas.openxmlformats.org/officeDocument/2006/relationships/hyperlink" Target="https://github.com/distillpub/post--attribution-baselines" TargetMode="External"/><Relationship Id="rId7" Type="http://schemas.openxmlformats.org/officeDocument/2006/relationships/hyperlink" Target="https://arxiv.org/pdf/2305.20052" TargetMode="External"/><Relationship Id="rId8" Type="http://schemas.openxmlformats.org/officeDocument/2006/relationships/hyperlink" Target="https://github.com/chasewalker26/Integrated-Decision-Gradients" TargetMode="External"/><Relationship Id="rId9" Type="http://schemas.openxmlformats.org/officeDocument/2006/relationships/hyperlink" Target="https://arxiv.org/pdf/1703.01365" TargetMode="External"/><Relationship Id="rId10" Type="http://schemas.openxmlformats.org/officeDocument/2006/relationships/hyperlink" Target="https://github.com/ankurtaly/Integrated-Gradients" TargetMode="External"/><Relationship Id="rId11" Type="http://schemas.openxmlformats.org/officeDocument/2006/relationships/hyperlink" Target="https://arxiv.org/pdf/1611.02639" TargetMode="External"/><Relationship Id="rId12" Type="http://schemas.openxmlformats.org/officeDocument/2006/relationships/hyperlink" Target="https://arxiv.org/pdf/2605.02167" TargetMode="External"/><Relationship Id="rId13" Type="http://schemas.openxmlformats.org/officeDocument/2006/relationships/hyperlink" Target="https://github.com/leekwoon/ma-gig/" TargetMode="External"/><Relationship Id="rId14" Type="http://schemas.openxmlformats.org/officeDocument/2006/relationships/hyperlink" Target="https://arxiv.org/pdf/2311.06192" TargetMode="External"/><Relationship Id="rId15" Type="http://schemas.openxmlformats.org/officeDocument/2006/relationships/hyperlink" Target="https://arxiv.org/pdf/2603.13792" TargetMode="External"/><Relationship Id="rId16" Type="http://schemas.openxmlformats.org/officeDocument/2006/relationships/hyperlink" Target="https://github.com/withyou12/igulora" TargetMode="External"/><Relationship Id="rId17" Type="http://schemas.openxmlformats.org/officeDocument/2006/relationships/hyperlink" Target="https://arxiv.org/pdf/2010.12697" TargetMode="External"/><Relationship Id="rId18" Type="http://schemas.openxmlformats.org/officeDocument/2006/relationships/hyperlink" Target="https://github.com/vivekmig/captum-1/tree/ExpandedIG" TargetMode="External"/><Relationship Id="rId19" Type="http://schemas.openxmlformats.org/officeDocument/2006/relationships/hyperlink" Target="https://arxiv.org/pdf/2106.09788" TargetMode="External"/><Relationship Id="rId20" Type="http://schemas.openxmlformats.org/officeDocument/2006/relationships/hyperlink" Target="https://github.com/pair-code/saliency" TargetMode="External"/><Relationship Id="rId21" Type="http://schemas.openxmlformats.org/officeDocument/2006/relationships/hyperlink" Target="https://www.ijcai.org/proceedings/2021/0396.pdf" TargetMode="External"/><Relationship Id="rId22" Type="http://schemas.openxmlformats.org/officeDocument/2006/relationships/hyperlink" Target="https://github.com/pd90506/AGI" TargetMode="External"/><Relationship Id="rId23" Type="http://schemas.openxmlformats.org/officeDocument/2006/relationships/hyperlink" Target="https://papers.baulab.info/papers/also/Erhan-2009.pdf" TargetMode="External"/><Relationship Id="rId24" Type="http://schemas.openxmlformats.org/officeDocument/2006/relationships/hyperlink" Target="https://github.com/pair-code/saliency" TargetMode="External"/><Relationship Id="rId25" Type="http://schemas.openxmlformats.org/officeDocument/2006/relationships/hyperlink" Target="https://arxiv.org/abs/1906.02825" TargetMode="External"/><Relationship Id="rId26" Type="http://schemas.openxmlformats.org/officeDocument/2006/relationships/hyperlink" Target="https://arxiv.org/abs/1706.03825" TargetMode="External"/><Relationship Id="rId27" Type="http://schemas.openxmlformats.org/officeDocument/2006/relationships/hyperlink" Target="https://arxiv.org/abs/1412.6806" TargetMode="External"/><Relationship Id="rId28" Type="http://schemas.openxmlformats.org/officeDocument/2006/relationships/hyperlink" Target="https://arxiv.org/pdf/2004.03383" TargetMode="External"/><Relationship Id="rId29" Type="http://schemas.openxmlformats.org/officeDocument/2006/relationships/hyperlink" Target="https://github.com/ankurtaly/integrated-gradients" TargetMode="External"/><Relationship Id="rId30" Type="http://schemas.openxmlformats.org/officeDocument/2006/relationships/hyperlink" Target="https://arxiv.org/abs/1312.6034" TargetMode="External"/><Relationship Id="rId31" Type="http://schemas.openxmlformats.org/officeDocument/2006/relationships/hyperlink" Target="https://arxiv.org/pdf/1610.02391" TargetMode="External"/><Relationship Id="rId32" Type="http://schemas.openxmlformats.org/officeDocument/2006/relationships/hyperlink" Target="https://github.com/ramprs/grad-cam/" TargetMode="External"/><Relationship Id="rId33" Type="http://schemas.openxmlformats.org/officeDocument/2006/relationships/hyperlink" Target="https://arxiv.org/pdf/1710.11063" TargetMode="External"/><Relationship Id="rId34" Type="http://schemas.openxmlformats.org/officeDocument/2006/relationships/hyperlink" Target="https://github.com/adityac94/Grad_CAM_plus_plus" TargetMode="External"/><Relationship Id="rId35" Type="http://schemas.openxmlformats.org/officeDocument/2006/relationships/hyperlink" Target="https://github.com/kundajelab/deeplift" TargetMode="External"/><Relationship Id="rId36" Type="http://schemas.openxmlformats.org/officeDocument/2006/relationships/hyperlink" Target="https://papers.nips.cc/paper_files/paper/2017/hash/8a20a8621978632d76c43dfd28b67767-Abstract.html" TargetMode="External"/><Relationship Id="rId37" Type="http://schemas.openxmlformats.org/officeDocument/2006/relationships/hyperlink" Target="https://github.com/slundberg/shap" TargetMode="External"/><Relationship Id="rId38" Type="http://schemas.openxmlformats.org/officeDocument/2006/relationships/hyperlink" Target="https://github.com/thailevann/research-paper-notes-vi/blob/main/SHAP.pdf" TargetMode="External"/><Relationship Id="rId39" Type="http://schemas.openxmlformats.org/officeDocument/2006/relationships/hyperlink" Target="https://arxiv.org/abs/1905.04610" TargetMode="External"/><Relationship Id="rId40" Type="http://schemas.openxmlformats.org/officeDocument/2006/relationships/hyperlink" Target="https://arxiv.org/pdf/1810.03292" TargetMode="External"/><Relationship Id="rId41" Type="http://schemas.openxmlformats.org/officeDocument/2006/relationships/hyperlink" Target="https://arxiv.org/pdf/2605.06404" TargetMode="External"/><Relationship Id="rId42" Type="http://schemas.openxmlformats.org/officeDocument/2006/relationships/hyperlink" Target="https://arxiv.org/pdf/1908.01224" TargetMode="External"/><Relationship Id="rId43" Type="http://schemas.openxmlformats.org/officeDocument/2006/relationships/hyperlink" Target="https://arxiv.org/pdf/1602.04938" TargetMode="External"/><Relationship Id="rId44" Type="http://schemas.openxmlformats.org/officeDocument/2006/relationships/hyperlink" Target="https://arxiv.org/pdf/1512.04150" TargetMode="External"/><Relationship Id="rId45" Type="http://schemas.openxmlformats.org/officeDocument/2006/relationships/hyperlink" Target="https://github.com/zhoubolei/CAM" TargetMode="External"/><Relationship Id="rId46" Type="http://schemas.openxmlformats.org/officeDocument/2006/relationships/hyperlink" Target="https://app.notion.com/p/Learning-Deep-Features-for-Discriminative-Localization-378af1f4ea558044bbd1c06cd09f1912?source=copy_link" TargetMode="External"/><Relationship Id="rId4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physionet.org/content/ptb-xl/1.0.3/" TargetMode="External"/><Relationship Id="rId2" Type="http://schemas.openxmlformats.org/officeDocument/2006/relationships/hyperlink" Target="https://doi.org/10.1038/s41597-020-0495-6" TargetMode="External"/><Relationship Id="rId3" Type="http://schemas.openxmlformats.org/officeDocument/2006/relationships/hyperlink" Target="https://physionet.org/content/mimic-iv-ecg/1.0/" TargetMode="External"/><Relationship Id="rId4" Type="http://schemas.openxmlformats.org/officeDocument/2006/relationships/hyperlink" Target="https://physionet.org/content/mimic-iv-ecg-demo/0.1/" TargetMode="External"/><Relationship Id="rId5" Type="http://schemas.openxmlformats.org/officeDocument/2006/relationships/hyperlink" Target="https://physionet.org/content/ecg-arrhythmia/1.0.0/" TargetMode="External"/><Relationship Id="rId6" Type="http://schemas.openxmlformats.org/officeDocument/2006/relationships/hyperlink" Target="https://physionet.org/content/challenge-2020/1.0.2/" TargetMode="External"/><Relationship Id="rId7" Type="http://schemas.openxmlformats.org/officeDocument/2006/relationships/hyperlink" Target="https://github.com/helme/ecg_ptbxl_benchmarking" TargetMode="External"/><Relationship Id="rId8" Type="http://schemas.openxmlformats.org/officeDocument/2006/relationships/hyperlink" Target="https://captum.ai/" TargetMode="External"/><Relationship Id="rId9" Type="http://schemas.openxmlformats.org/officeDocument/2006/relationships/hyperlink" Target="https://github.com/understandable-machine-intelligence-lab/Quantus" TargetMode="External"/><Relationship Id="rId10" Type="http://schemas.openxmlformats.org/officeDocument/2006/relationships/hyperlink" Target="https://github.com/AI4LIFE-GROUP/OpenXAI" TargetMode="External"/><Relationship Id="rId11" Type="http://schemas.openxmlformats.org/officeDocument/2006/relationships/hyperlink" Target="https://github.com/neuropsychology/NeuroKit" TargetMode="External"/><Relationship Id="rId12" Type="http://schemas.openxmlformats.org/officeDocument/2006/relationships/hyperlink" Target="https://github.com/eclique/RISE" TargetMode="External"/><Relationship Id="rId13" Type="http://schemas.openxmlformats.org/officeDocument/2006/relationships/hyperlink" Target="https://github.com/interpretml/Di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15"/>
    <col collapsed="false" customWidth="true" hidden="false" outlineLevel="0" max="7" min="7" style="0" width="42"/>
    <col collapsed="false" customWidth="true" hidden="false" outlineLevel="0" max="8" min="8" style="0" width="26"/>
    <col collapsed="false" customWidth="true" hidden="false" outlineLevel="0" max="10" min="9" style="0" width="44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40"/>
    <col collapsed="false" customWidth="true" hidden="false" outlineLevel="0" max="14" min="14" style="0" width="13"/>
    <col collapsed="false" customWidth="true" hidden="false" outlineLevel="0" max="15" min="15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33.75" hidden="false" customHeight="true" outlineLevel="0" collapsed="false">
      <c r="A4" s="4" t="n">
        <v>1</v>
      </c>
      <c r="B4" s="5" t="s">
        <v>17</v>
      </c>
      <c r="C4" s="6" t="s">
        <v>18</v>
      </c>
      <c r="D4" s="7" t="s">
        <v>19</v>
      </c>
      <c r="E4" s="8" t="s">
        <v>20</v>
      </c>
      <c r="F4" s="9" t="s">
        <v>21</v>
      </c>
      <c r="G4" s="10" t="s">
        <v>22</v>
      </c>
      <c r="H4" s="11" t="s">
        <v>23</v>
      </c>
      <c r="I4" s="12" t="s">
        <v>24</v>
      </c>
      <c r="J4" s="12" t="s">
        <v>25</v>
      </c>
      <c r="K4" s="9" t="s">
        <v>26</v>
      </c>
      <c r="L4" s="7" t="s">
        <v>27</v>
      </c>
      <c r="M4" s="11" t="s">
        <v>28</v>
      </c>
      <c r="N4" s="7" t="s">
        <v>29</v>
      </c>
      <c r="O4" s="11" t="s">
        <v>30</v>
      </c>
    </row>
    <row r="5" customFormat="false" ht="33.75" hidden="false" customHeight="true" outlineLevel="0" collapsed="false">
      <c r="A5" s="4" t="n">
        <v>2</v>
      </c>
      <c r="B5" s="5" t="s">
        <v>17</v>
      </c>
      <c r="C5" s="6" t="s">
        <v>18</v>
      </c>
      <c r="D5" s="7" t="s">
        <v>31</v>
      </c>
      <c r="E5" s="8" t="s">
        <v>32</v>
      </c>
      <c r="F5" s="9" t="s">
        <v>33</v>
      </c>
      <c r="G5" s="10" t="s">
        <v>34</v>
      </c>
      <c r="H5" s="11" t="s">
        <v>35</v>
      </c>
      <c r="I5" s="12" t="s">
        <v>36</v>
      </c>
      <c r="J5" s="12" t="s">
        <v>37</v>
      </c>
      <c r="K5" s="9" t="s">
        <v>27</v>
      </c>
      <c r="L5" s="7" t="s">
        <v>38</v>
      </c>
      <c r="M5" s="11" t="s">
        <v>39</v>
      </c>
      <c r="N5" s="7" t="s">
        <v>29</v>
      </c>
      <c r="O5" s="11" t="s">
        <v>40</v>
      </c>
    </row>
    <row r="6" customFormat="false" ht="33.75" hidden="false" customHeight="true" outlineLevel="0" collapsed="false">
      <c r="A6" s="4" t="n">
        <v>3</v>
      </c>
      <c r="B6" s="5" t="s">
        <v>17</v>
      </c>
      <c r="C6" s="13" t="s">
        <v>41</v>
      </c>
      <c r="D6" s="7" t="s">
        <v>19</v>
      </c>
      <c r="E6" s="8" t="s">
        <v>20</v>
      </c>
      <c r="F6" s="9" t="s">
        <v>42</v>
      </c>
      <c r="G6" s="10" t="s">
        <v>43</v>
      </c>
      <c r="H6" s="11" t="s">
        <v>44</v>
      </c>
      <c r="I6" s="12" t="s">
        <v>45</v>
      </c>
      <c r="J6" s="11"/>
      <c r="K6" s="9" t="s">
        <v>38</v>
      </c>
      <c r="L6" s="7" t="s">
        <v>46</v>
      </c>
      <c r="M6" s="11" t="s">
        <v>47</v>
      </c>
      <c r="N6" s="7" t="s">
        <v>29</v>
      </c>
      <c r="O6" s="11" t="s">
        <v>48</v>
      </c>
    </row>
    <row r="7" customFormat="false" ht="33.75" hidden="false" customHeight="true" outlineLevel="0" collapsed="false">
      <c r="A7" s="4" t="n">
        <v>4</v>
      </c>
      <c r="B7" s="5" t="s">
        <v>17</v>
      </c>
      <c r="C7" s="13" t="s">
        <v>41</v>
      </c>
      <c r="D7" s="7" t="s">
        <v>49</v>
      </c>
      <c r="E7" s="8" t="s">
        <v>20</v>
      </c>
      <c r="F7" s="9" t="s">
        <v>50</v>
      </c>
      <c r="G7" s="10" t="s">
        <v>51</v>
      </c>
      <c r="H7" s="11" t="s">
        <v>52</v>
      </c>
      <c r="I7" s="12" t="s">
        <v>53</v>
      </c>
      <c r="J7" s="12" t="s">
        <v>54</v>
      </c>
      <c r="K7" s="9" t="s">
        <v>46</v>
      </c>
      <c r="L7" s="7" t="s">
        <v>26</v>
      </c>
      <c r="M7" s="11" t="s">
        <v>55</v>
      </c>
      <c r="N7" s="7" t="s">
        <v>29</v>
      </c>
      <c r="O7" s="11" t="s">
        <v>56</v>
      </c>
    </row>
    <row r="8" customFormat="false" ht="33.75" hidden="false" customHeight="true" outlineLevel="0" collapsed="false">
      <c r="A8" s="4" t="n">
        <v>5</v>
      </c>
      <c r="B8" s="5" t="s">
        <v>57</v>
      </c>
      <c r="C8" s="6" t="s">
        <v>18</v>
      </c>
      <c r="D8" s="7" t="s">
        <v>58</v>
      </c>
      <c r="E8" s="8" t="s">
        <v>59</v>
      </c>
      <c r="F8" s="9" t="s">
        <v>60</v>
      </c>
      <c r="G8" s="10" t="s">
        <v>61</v>
      </c>
      <c r="H8" s="11" t="s">
        <v>21</v>
      </c>
      <c r="I8" s="12" t="s">
        <v>62</v>
      </c>
      <c r="J8" s="12" t="s">
        <v>25</v>
      </c>
      <c r="K8" s="9" t="s">
        <v>26</v>
      </c>
      <c r="L8" s="7" t="s">
        <v>27</v>
      </c>
      <c r="M8" s="11" t="s">
        <v>63</v>
      </c>
      <c r="N8" s="7" t="s">
        <v>29</v>
      </c>
      <c r="O8" s="11" t="s">
        <v>64</v>
      </c>
    </row>
    <row r="9" customFormat="false" ht="33.75" hidden="false" customHeight="true" outlineLevel="0" collapsed="false">
      <c r="A9" s="4" t="n">
        <v>6</v>
      </c>
      <c r="B9" s="5" t="s">
        <v>57</v>
      </c>
      <c r="C9" s="13" t="s">
        <v>41</v>
      </c>
      <c r="D9" s="7" t="s">
        <v>65</v>
      </c>
      <c r="E9" s="8" t="s">
        <v>66</v>
      </c>
      <c r="F9" s="9" t="s">
        <v>67</v>
      </c>
      <c r="G9" s="10" t="s">
        <v>68</v>
      </c>
      <c r="H9" s="11" t="s">
        <v>69</v>
      </c>
      <c r="I9" s="12" t="s">
        <v>70</v>
      </c>
      <c r="J9" s="11"/>
      <c r="K9" s="9" t="s">
        <v>27</v>
      </c>
      <c r="L9" s="7" t="s">
        <v>38</v>
      </c>
      <c r="M9" s="11" t="s">
        <v>71</v>
      </c>
      <c r="N9" s="7" t="s">
        <v>29</v>
      </c>
      <c r="O9" s="11" t="s">
        <v>72</v>
      </c>
    </row>
    <row r="10" customFormat="false" ht="33.75" hidden="false" customHeight="true" outlineLevel="0" collapsed="false">
      <c r="A10" s="4" t="n">
        <v>7</v>
      </c>
      <c r="B10" s="5" t="s">
        <v>57</v>
      </c>
      <c r="C10" s="13" t="s">
        <v>41</v>
      </c>
      <c r="D10" s="7" t="s">
        <v>73</v>
      </c>
      <c r="E10" s="8" t="s">
        <v>59</v>
      </c>
      <c r="F10" s="9" t="s">
        <v>74</v>
      </c>
      <c r="G10" s="10" t="s">
        <v>75</v>
      </c>
      <c r="H10" s="11" t="s">
        <v>76</v>
      </c>
      <c r="I10" s="12" t="s">
        <v>77</v>
      </c>
      <c r="J10" s="11"/>
      <c r="K10" s="9" t="s">
        <v>38</v>
      </c>
      <c r="L10" s="7" t="s">
        <v>46</v>
      </c>
      <c r="M10" s="11" t="s">
        <v>78</v>
      </c>
      <c r="N10" s="7" t="s">
        <v>29</v>
      </c>
      <c r="O10" s="11" t="s">
        <v>79</v>
      </c>
    </row>
    <row r="11" customFormat="false" ht="33.75" hidden="false" customHeight="true" outlineLevel="0" collapsed="false">
      <c r="A11" s="4" t="n">
        <v>8</v>
      </c>
      <c r="B11" s="5" t="s">
        <v>80</v>
      </c>
      <c r="C11" s="6" t="s">
        <v>18</v>
      </c>
      <c r="D11" s="7" t="s">
        <v>81</v>
      </c>
      <c r="E11" s="8" t="s">
        <v>82</v>
      </c>
      <c r="F11" s="9" t="s">
        <v>83</v>
      </c>
      <c r="G11" s="10" t="s">
        <v>84</v>
      </c>
      <c r="H11" s="11" t="s">
        <v>21</v>
      </c>
      <c r="I11" s="12" t="s">
        <v>85</v>
      </c>
      <c r="J11" s="11"/>
      <c r="K11" s="9" t="s">
        <v>46</v>
      </c>
      <c r="L11" s="7" t="s">
        <v>26</v>
      </c>
      <c r="M11" s="11" t="s">
        <v>86</v>
      </c>
      <c r="N11" s="7" t="s">
        <v>29</v>
      </c>
      <c r="O11" s="11" t="s">
        <v>87</v>
      </c>
    </row>
    <row r="12" customFormat="false" ht="33.75" hidden="false" customHeight="true" outlineLevel="0" collapsed="false">
      <c r="A12" s="4" t="n">
        <v>9</v>
      </c>
      <c r="B12" s="5" t="s">
        <v>80</v>
      </c>
      <c r="C12" s="6" t="s">
        <v>18</v>
      </c>
      <c r="D12" s="7" t="s">
        <v>88</v>
      </c>
      <c r="E12" s="8" t="s">
        <v>89</v>
      </c>
      <c r="F12" s="9" t="s">
        <v>90</v>
      </c>
      <c r="G12" s="10" t="s">
        <v>91</v>
      </c>
      <c r="H12" s="11" t="s">
        <v>92</v>
      </c>
      <c r="I12" s="12" t="s">
        <v>93</v>
      </c>
      <c r="J12" s="11"/>
      <c r="K12" s="9" t="s">
        <v>26</v>
      </c>
      <c r="L12" s="7" t="s">
        <v>27</v>
      </c>
      <c r="M12" s="11" t="s">
        <v>94</v>
      </c>
      <c r="N12" s="7" t="s">
        <v>29</v>
      </c>
      <c r="O12" s="11" t="s">
        <v>95</v>
      </c>
    </row>
    <row r="13" customFormat="false" ht="33.75" hidden="false" customHeight="true" outlineLevel="0" collapsed="false">
      <c r="A13" s="4" t="n">
        <v>10</v>
      </c>
      <c r="B13" s="5" t="s">
        <v>80</v>
      </c>
      <c r="C13" s="6" t="s">
        <v>18</v>
      </c>
      <c r="D13" s="7" t="s">
        <v>81</v>
      </c>
      <c r="E13" s="8" t="s">
        <v>82</v>
      </c>
      <c r="F13" s="9" t="s">
        <v>96</v>
      </c>
      <c r="G13" s="10" t="s">
        <v>97</v>
      </c>
      <c r="H13" s="11" t="s">
        <v>98</v>
      </c>
      <c r="I13" s="12" t="s">
        <v>99</v>
      </c>
      <c r="J13" s="11"/>
      <c r="K13" s="9" t="s">
        <v>27</v>
      </c>
      <c r="L13" s="7" t="s">
        <v>38</v>
      </c>
      <c r="M13" s="11" t="s">
        <v>100</v>
      </c>
      <c r="N13" s="7" t="s">
        <v>29</v>
      </c>
      <c r="O13" s="11" t="s">
        <v>101</v>
      </c>
    </row>
    <row r="14" customFormat="false" ht="33.75" hidden="false" customHeight="true" outlineLevel="0" collapsed="false">
      <c r="A14" s="4" t="n">
        <v>11</v>
      </c>
      <c r="B14" s="5" t="s">
        <v>80</v>
      </c>
      <c r="C14" s="13" t="s">
        <v>41</v>
      </c>
      <c r="D14" s="7" t="s">
        <v>81</v>
      </c>
      <c r="E14" s="8" t="s">
        <v>66</v>
      </c>
      <c r="F14" s="9" t="s">
        <v>102</v>
      </c>
      <c r="G14" s="10" t="s">
        <v>103</v>
      </c>
      <c r="H14" s="11" t="s">
        <v>104</v>
      </c>
      <c r="I14" s="12" t="s">
        <v>105</v>
      </c>
      <c r="J14" s="11"/>
      <c r="K14" s="9" t="s">
        <v>38</v>
      </c>
      <c r="L14" s="7" t="s">
        <v>46</v>
      </c>
      <c r="M14" s="11" t="s">
        <v>106</v>
      </c>
      <c r="N14" s="7" t="s">
        <v>29</v>
      </c>
      <c r="O14" s="11" t="s">
        <v>107</v>
      </c>
    </row>
    <row r="15" customFormat="false" ht="33.75" hidden="false" customHeight="true" outlineLevel="0" collapsed="false">
      <c r="A15" s="4" t="n">
        <v>12</v>
      </c>
      <c r="B15" s="5" t="s">
        <v>80</v>
      </c>
      <c r="C15" s="13" t="s">
        <v>41</v>
      </c>
      <c r="D15" s="7" t="s">
        <v>81</v>
      </c>
      <c r="E15" s="8" t="s">
        <v>89</v>
      </c>
      <c r="F15" s="9" t="s">
        <v>108</v>
      </c>
      <c r="G15" s="10" t="s">
        <v>109</v>
      </c>
      <c r="H15" s="11" t="s">
        <v>110</v>
      </c>
      <c r="I15" s="12" t="s">
        <v>111</v>
      </c>
      <c r="J15" s="11"/>
      <c r="K15" s="9" t="s">
        <v>46</v>
      </c>
      <c r="L15" s="7" t="s">
        <v>26</v>
      </c>
      <c r="M15" s="11" t="s">
        <v>112</v>
      </c>
      <c r="N15" s="7" t="s">
        <v>29</v>
      </c>
      <c r="O15" s="11" t="s">
        <v>113</v>
      </c>
    </row>
    <row r="16" customFormat="false" ht="33.75" hidden="false" customHeight="true" outlineLevel="0" collapsed="false">
      <c r="A16" s="4" t="n">
        <v>13</v>
      </c>
      <c r="B16" s="5" t="s">
        <v>80</v>
      </c>
      <c r="C16" s="13" t="s">
        <v>41</v>
      </c>
      <c r="D16" s="7" t="s">
        <v>114</v>
      </c>
      <c r="E16" s="8" t="s">
        <v>20</v>
      </c>
      <c r="F16" s="9" t="s">
        <v>115</v>
      </c>
      <c r="G16" s="10" t="s">
        <v>116</v>
      </c>
      <c r="H16" s="11" t="s">
        <v>98</v>
      </c>
      <c r="I16" s="12" t="s">
        <v>117</v>
      </c>
      <c r="J16" s="11"/>
      <c r="K16" s="9" t="s">
        <v>26</v>
      </c>
      <c r="L16" s="7" t="s">
        <v>27</v>
      </c>
      <c r="M16" s="11" t="s">
        <v>118</v>
      </c>
      <c r="N16" s="7" t="s">
        <v>29</v>
      </c>
      <c r="O16" s="11" t="s">
        <v>119</v>
      </c>
    </row>
    <row r="17" customFormat="false" ht="33.75" hidden="false" customHeight="true" outlineLevel="0" collapsed="false">
      <c r="A17" s="4" t="n">
        <v>14</v>
      </c>
      <c r="B17" s="5" t="s">
        <v>120</v>
      </c>
      <c r="C17" s="6" t="s">
        <v>18</v>
      </c>
      <c r="D17" s="7" t="s">
        <v>121</v>
      </c>
      <c r="E17" s="8" t="s">
        <v>122</v>
      </c>
      <c r="F17" s="9" t="s">
        <v>123</v>
      </c>
      <c r="G17" s="10" t="s">
        <v>124</v>
      </c>
      <c r="H17" s="11" t="s">
        <v>125</v>
      </c>
      <c r="I17" s="12" t="s">
        <v>126</v>
      </c>
      <c r="J17" s="11"/>
      <c r="K17" s="9" t="s">
        <v>27</v>
      </c>
      <c r="L17" s="7" t="s">
        <v>38</v>
      </c>
      <c r="M17" s="11" t="s">
        <v>127</v>
      </c>
      <c r="N17" s="7" t="s">
        <v>29</v>
      </c>
      <c r="O17" s="11" t="s">
        <v>128</v>
      </c>
    </row>
    <row r="18" customFormat="false" ht="33.75" hidden="false" customHeight="true" outlineLevel="0" collapsed="false">
      <c r="A18" s="4" t="n">
        <v>15</v>
      </c>
      <c r="B18" s="5" t="s">
        <v>120</v>
      </c>
      <c r="C18" s="6" t="s">
        <v>18</v>
      </c>
      <c r="D18" s="7" t="s">
        <v>121</v>
      </c>
      <c r="E18" s="8" t="s">
        <v>129</v>
      </c>
      <c r="F18" s="9" t="s">
        <v>130</v>
      </c>
      <c r="G18" s="10" t="s">
        <v>131</v>
      </c>
      <c r="H18" s="11" t="s">
        <v>132</v>
      </c>
      <c r="I18" s="12" t="s">
        <v>133</v>
      </c>
      <c r="J18" s="12" t="s">
        <v>134</v>
      </c>
      <c r="K18" s="9" t="s">
        <v>38</v>
      </c>
      <c r="L18" s="7" t="s">
        <v>46</v>
      </c>
      <c r="M18" s="11" t="s">
        <v>135</v>
      </c>
      <c r="N18" s="7" t="s">
        <v>29</v>
      </c>
      <c r="O18" s="11" t="s">
        <v>136</v>
      </c>
    </row>
    <row r="19" customFormat="false" ht="33.75" hidden="false" customHeight="true" outlineLevel="0" collapsed="false">
      <c r="A19" s="4" t="n">
        <v>16</v>
      </c>
      <c r="B19" s="5" t="s">
        <v>120</v>
      </c>
      <c r="C19" s="6" t="s">
        <v>18</v>
      </c>
      <c r="D19" s="7" t="s">
        <v>137</v>
      </c>
      <c r="E19" s="8" t="s">
        <v>122</v>
      </c>
      <c r="F19" s="9" t="s">
        <v>138</v>
      </c>
      <c r="G19" s="10" t="s">
        <v>139</v>
      </c>
      <c r="H19" s="11" t="s">
        <v>140</v>
      </c>
      <c r="I19" s="12" t="s">
        <v>141</v>
      </c>
      <c r="J19" s="12" t="s">
        <v>142</v>
      </c>
      <c r="K19" s="9" t="s">
        <v>46</v>
      </c>
      <c r="L19" s="7" t="s">
        <v>26</v>
      </c>
      <c r="M19" s="11" t="s">
        <v>143</v>
      </c>
      <c r="N19" s="7" t="s">
        <v>29</v>
      </c>
      <c r="O19" s="11" t="s">
        <v>144</v>
      </c>
    </row>
    <row r="20" customFormat="false" ht="33.75" hidden="false" customHeight="true" outlineLevel="0" collapsed="false">
      <c r="A20" s="4" t="n">
        <v>17</v>
      </c>
      <c r="B20" s="5" t="s">
        <v>120</v>
      </c>
      <c r="C20" s="13" t="s">
        <v>41</v>
      </c>
      <c r="D20" s="7" t="s">
        <v>145</v>
      </c>
      <c r="E20" s="8" t="s">
        <v>146</v>
      </c>
      <c r="F20" s="9" t="s">
        <v>147</v>
      </c>
      <c r="G20" s="10" t="s">
        <v>148</v>
      </c>
      <c r="H20" s="11" t="s">
        <v>140</v>
      </c>
      <c r="I20" s="12" t="s">
        <v>149</v>
      </c>
      <c r="J20" s="11"/>
      <c r="K20" s="9" t="s">
        <v>26</v>
      </c>
      <c r="L20" s="7" t="s">
        <v>27</v>
      </c>
      <c r="M20" s="11" t="s">
        <v>150</v>
      </c>
      <c r="N20" s="7" t="s">
        <v>29</v>
      </c>
      <c r="O20" s="11" t="s">
        <v>151</v>
      </c>
    </row>
    <row r="21" customFormat="false" ht="33.75" hidden="false" customHeight="true" outlineLevel="0" collapsed="false">
      <c r="A21" s="4" t="n">
        <v>18</v>
      </c>
      <c r="B21" s="5" t="s">
        <v>120</v>
      </c>
      <c r="C21" s="13" t="s">
        <v>41</v>
      </c>
      <c r="D21" s="7" t="s">
        <v>88</v>
      </c>
      <c r="E21" s="8" t="s">
        <v>89</v>
      </c>
      <c r="F21" s="9" t="s">
        <v>152</v>
      </c>
      <c r="G21" s="10" t="s">
        <v>153</v>
      </c>
      <c r="H21" s="11" t="s">
        <v>154</v>
      </c>
      <c r="I21" s="12" t="s">
        <v>155</v>
      </c>
      <c r="J21" s="11"/>
      <c r="K21" s="9" t="s">
        <v>27</v>
      </c>
      <c r="L21" s="7" t="s">
        <v>38</v>
      </c>
      <c r="M21" s="11" t="s">
        <v>156</v>
      </c>
      <c r="N21" s="7" t="s">
        <v>29</v>
      </c>
      <c r="O21" s="11" t="s">
        <v>157</v>
      </c>
    </row>
    <row r="22" customFormat="false" ht="33.75" hidden="false" customHeight="true" outlineLevel="0" collapsed="false">
      <c r="A22" s="4" t="n">
        <v>19</v>
      </c>
      <c r="B22" s="5" t="s">
        <v>120</v>
      </c>
      <c r="C22" s="6" t="s">
        <v>18</v>
      </c>
      <c r="D22" s="7" t="s">
        <v>158</v>
      </c>
      <c r="E22" s="8" t="s">
        <v>32</v>
      </c>
      <c r="F22" s="9" t="s">
        <v>159</v>
      </c>
      <c r="G22" s="10" t="s">
        <v>160</v>
      </c>
      <c r="H22" s="11" t="s">
        <v>161</v>
      </c>
      <c r="I22" s="12" t="s">
        <v>162</v>
      </c>
      <c r="J22" s="12" t="s">
        <v>163</v>
      </c>
      <c r="K22" s="9" t="s">
        <v>38</v>
      </c>
      <c r="L22" s="7" t="s">
        <v>46</v>
      </c>
      <c r="M22" s="11" t="s">
        <v>164</v>
      </c>
      <c r="N22" s="7" t="s">
        <v>29</v>
      </c>
      <c r="O22" s="11" t="s">
        <v>165</v>
      </c>
    </row>
    <row r="23" customFormat="false" ht="33.75" hidden="false" customHeight="true" outlineLevel="0" collapsed="false">
      <c r="A23" s="4" t="n">
        <v>20</v>
      </c>
      <c r="B23" s="5" t="s">
        <v>120</v>
      </c>
      <c r="C23" s="13" t="s">
        <v>41</v>
      </c>
      <c r="D23" s="7" t="s">
        <v>166</v>
      </c>
      <c r="E23" s="8" t="s">
        <v>89</v>
      </c>
      <c r="F23" s="9" t="s">
        <v>167</v>
      </c>
      <c r="G23" s="10" t="s">
        <v>168</v>
      </c>
      <c r="H23" s="11" t="s">
        <v>169</v>
      </c>
      <c r="I23" s="12" t="s">
        <v>170</v>
      </c>
      <c r="J23" s="12" t="s">
        <v>171</v>
      </c>
      <c r="K23" s="9" t="s">
        <v>46</v>
      </c>
      <c r="L23" s="7" t="s">
        <v>26</v>
      </c>
      <c r="M23" s="11" t="s">
        <v>172</v>
      </c>
      <c r="N23" s="7" t="s">
        <v>29</v>
      </c>
      <c r="O23" s="11" t="s">
        <v>173</v>
      </c>
    </row>
    <row r="24" customFormat="false" ht="33.75" hidden="false" customHeight="true" outlineLevel="0" collapsed="false">
      <c r="A24" s="4" t="n">
        <v>21</v>
      </c>
      <c r="B24" s="5" t="s">
        <v>174</v>
      </c>
      <c r="C24" s="14" t="s">
        <v>175</v>
      </c>
      <c r="D24" s="7" t="s">
        <v>176</v>
      </c>
      <c r="E24" s="8" t="s">
        <v>20</v>
      </c>
      <c r="F24" s="9" t="s">
        <v>177</v>
      </c>
      <c r="G24" s="10" t="s">
        <v>178</v>
      </c>
      <c r="H24" s="11" t="s">
        <v>169</v>
      </c>
      <c r="I24" s="12" t="s">
        <v>179</v>
      </c>
      <c r="J24" s="12" t="s">
        <v>180</v>
      </c>
      <c r="K24" s="9" t="s">
        <v>26</v>
      </c>
      <c r="L24" s="7" t="s">
        <v>27</v>
      </c>
      <c r="M24" s="11" t="s">
        <v>181</v>
      </c>
      <c r="N24" s="7" t="s">
        <v>29</v>
      </c>
      <c r="O24" s="11" t="s">
        <v>182</v>
      </c>
    </row>
    <row r="25" customFormat="false" ht="33.75" hidden="false" customHeight="true" outlineLevel="0" collapsed="false">
      <c r="A25" s="4" t="n">
        <v>22</v>
      </c>
      <c r="B25" s="5" t="s">
        <v>183</v>
      </c>
      <c r="C25" s="13" t="s">
        <v>41</v>
      </c>
      <c r="D25" s="7" t="s">
        <v>184</v>
      </c>
      <c r="E25" s="8" t="s">
        <v>82</v>
      </c>
      <c r="F25" s="9" t="s">
        <v>185</v>
      </c>
      <c r="G25" s="10" t="s">
        <v>186</v>
      </c>
      <c r="H25" s="11" t="s">
        <v>161</v>
      </c>
      <c r="I25" s="12" t="s">
        <v>187</v>
      </c>
      <c r="J25" s="11"/>
      <c r="K25" s="9" t="s">
        <v>27</v>
      </c>
      <c r="L25" s="7" t="s">
        <v>38</v>
      </c>
      <c r="M25" s="11" t="s">
        <v>188</v>
      </c>
      <c r="N25" s="7" t="s">
        <v>29</v>
      </c>
      <c r="O25" s="11" t="s">
        <v>189</v>
      </c>
    </row>
    <row r="26" customFormat="false" ht="33.75" hidden="false" customHeight="true" outlineLevel="0" collapsed="false">
      <c r="A26" s="4" t="n">
        <v>23</v>
      </c>
      <c r="B26" s="5" t="s">
        <v>183</v>
      </c>
      <c r="C26" s="13" t="s">
        <v>41</v>
      </c>
      <c r="D26" s="7" t="s">
        <v>190</v>
      </c>
      <c r="E26" s="8" t="s">
        <v>129</v>
      </c>
      <c r="F26" s="9" t="s">
        <v>191</v>
      </c>
      <c r="G26" s="10" t="s">
        <v>192</v>
      </c>
      <c r="H26" s="11" t="s">
        <v>161</v>
      </c>
      <c r="I26" s="12" t="s">
        <v>193</v>
      </c>
      <c r="J26" s="11"/>
      <c r="K26" s="9" t="s">
        <v>38</v>
      </c>
      <c r="L26" s="7" t="s">
        <v>46</v>
      </c>
      <c r="M26" s="11" t="s">
        <v>194</v>
      </c>
      <c r="N26" s="7" t="s">
        <v>29</v>
      </c>
      <c r="O26" s="11" t="s">
        <v>195</v>
      </c>
    </row>
  </sheetData>
  <autoFilter ref="A3:O26"/>
  <mergeCells count="2">
    <mergeCell ref="A1:O1"/>
    <mergeCell ref="A2:O2"/>
  </mergeCells>
  <dataValidations count="1">
    <dataValidation allowBlank="true" errorStyle="stop" operator="between" showDropDown="false" showErrorMessage="false" showInputMessage="false" sqref="N4:N26" type="list">
      <formula1>"Not started,In progress,Done"</formula1>
      <formula2>0</formula2>
    </dataValidation>
  </dataValidations>
  <hyperlinks>
    <hyperlink ref="I4" r:id="rId1" display="https://doi.org/10.1038/s41597-020-0495-6"/>
    <hyperlink ref="J4" r:id="rId2" display="https://github.com/helme/ecg_ptbxl_benchmarking"/>
    <hyperlink ref="I5" r:id="rId3" display="https://physionet.org/content/mimic-iv-ecg/1.0/"/>
    <hyperlink ref="J5" r:id="rId4" display="https://physionet.org/content/mimic-iv-ecg-demo/0.1/"/>
    <hyperlink ref="I6" r:id="rId5" display="https://doi.org/10.1038/s41597-020-0386-x"/>
    <hyperlink ref="I7" r:id="rId6" display="https://doi.org/10.1088/1361-6579/abc960"/>
    <hyperlink ref="J7" r:id="rId7" display="https://physionet.org/content/challenge-2020/1.0.2/"/>
    <hyperlink ref="I8" r:id="rId8" display="https://doi.org/10.1109/JBHI.2020.3022989"/>
    <hyperlink ref="J8" r:id="rId9" display="https://github.com/helme/ecg_ptbxl_benchmarking"/>
    <hyperlink ref="I9" r:id="rId10" display="https://www.ncbi.nlm.nih.gov/pmc/articles/PMC12853118/"/>
    <hyperlink ref="I10" r:id="rId11" display="https://www.ncbi.nlm.nih.gov/pmc/articles/PMC8273385/"/>
    <hyperlink ref="I11" r:id="rId12" display="https://arxiv.org/abs/2305.17043"/>
    <hyperlink ref="I12" r:id="rId13" display="https://arxiv.org/abs/2211.12702"/>
    <hyperlink ref="I13" r:id="rId14" display="https://www.sciencedirect.com/science/article/abs/pii/S0010482524011739"/>
    <hyperlink ref="I14" r:id="rId15" display="https://www.sciencedirect.com/science/article/pii/S0010482525016786"/>
    <hyperlink ref="I15" r:id="rId16" display="https://www.researchgate.net/publication/360167890"/>
    <hyperlink ref="I16" r:id="rId17" display="https://doi.org/10.1109/BIBE50027.2020.00114"/>
    <hyperlink ref="I17" r:id="rId18" display="https://arxiv.org/abs/1810.03292"/>
    <hyperlink ref="I18" r:id="rId19" display="https://arxiv.org/abs/1806.10758"/>
    <hyperlink ref="J18" r:id="rId20" display="https://github.com/google-research/google-research/tree/master/interpretability_benchmark"/>
    <hyperlink ref="I19" r:id="rId21" display="https://arxiv.org/abs/1806.07421"/>
    <hyperlink ref="J19" r:id="rId22" display="https://github.com/eclique/RISE"/>
    <hyperlink ref="I20" r:id="rId23" display="https://arxiv.org/abs/1509.06321"/>
    <hyperlink ref="I21" r:id="rId24" display="https://arxiv.org/abs/2202.01602"/>
    <hyperlink ref="I22" r:id="rId25" display="https://arxiv.org/abs/2202.06861"/>
    <hyperlink ref="J22" r:id="rId26" display="https://github.com/understandable-machine-intelligence-lab/Quantus"/>
    <hyperlink ref="I23" r:id="rId27" display="https://arxiv.org/abs/2206.11104"/>
    <hyperlink ref="J23" r:id="rId28" display="https://github.com/AI4LIFE-GROUP/OpenXAI"/>
    <hyperlink ref="I24" r:id="rId29" display="https://arxiv.org/abs/1905.07697"/>
    <hyperlink ref="J24" r:id="rId30" display="https://github.com/interpretml/DiCE"/>
    <hyperlink ref="I25" r:id="rId31" display="https://doi.org/10.1136/bmj-2023-078378"/>
    <hyperlink ref="I26" r:id="rId32" display="https://arxiv.org/abs/1811.1015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21.75" hidden="false" customHeight="true" outlineLevel="0" collapsed="false">
      <c r="A1" s="15" t="s">
        <v>196</v>
      </c>
      <c r="B1" s="15"/>
      <c r="C1" s="15"/>
      <c r="D1" s="15"/>
    </row>
    <row r="2" customFormat="false" ht="15" hidden="false" customHeight="false" outlineLevel="0" collapsed="false">
      <c r="A2" s="3" t="s">
        <v>197</v>
      </c>
      <c r="B2" s="3" t="s">
        <v>198</v>
      </c>
      <c r="C2" s="3" t="s">
        <v>199</v>
      </c>
      <c r="D2" s="3" t="s">
        <v>200</v>
      </c>
    </row>
    <row r="3" customFormat="false" ht="15" hidden="false" customHeight="false" outlineLevel="0" collapsed="false">
      <c r="A3" s="16" t="s">
        <v>26</v>
      </c>
      <c r="B3" s="17" t="n">
        <f aca="false">COUNTIF('ECG-xAI-AMI Review'!K:K,A3)</f>
        <v>6</v>
      </c>
      <c r="C3" s="17" t="n">
        <f aca="false">COUNTIF('ECG-xAI-AMI Review'!L:L,A3)</f>
        <v>5</v>
      </c>
      <c r="D3" s="17" t="n">
        <f aca="false">B3+C3</f>
        <v>11</v>
      </c>
    </row>
    <row r="4" customFormat="false" ht="15" hidden="false" customHeight="false" outlineLevel="0" collapsed="false">
      <c r="A4" s="16" t="s">
        <v>27</v>
      </c>
      <c r="B4" s="17" t="n">
        <f aca="false">COUNTIF('ECG-xAI-AMI Review'!K:K,A4)</f>
        <v>6</v>
      </c>
      <c r="C4" s="17" t="n">
        <f aca="false">COUNTIF('ECG-xAI-AMI Review'!L:L,A4)</f>
        <v>6</v>
      </c>
      <c r="D4" s="17" t="n">
        <f aca="false">B4+C4</f>
        <v>12</v>
      </c>
    </row>
    <row r="5" customFormat="false" ht="15" hidden="false" customHeight="false" outlineLevel="0" collapsed="false">
      <c r="A5" s="16" t="s">
        <v>38</v>
      </c>
      <c r="B5" s="17" t="n">
        <f aca="false">COUNTIF('ECG-xAI-AMI Review'!K:K,A5)</f>
        <v>6</v>
      </c>
      <c r="C5" s="17" t="n">
        <f aca="false">COUNTIF('ECG-xAI-AMI Review'!L:L,A5)</f>
        <v>6</v>
      </c>
      <c r="D5" s="17" t="n">
        <f aca="false">B5+C5</f>
        <v>12</v>
      </c>
    </row>
    <row r="6" customFormat="false" ht="15" hidden="false" customHeight="false" outlineLevel="0" collapsed="false">
      <c r="A6" s="16" t="s">
        <v>46</v>
      </c>
      <c r="B6" s="17" t="n">
        <f aca="false">COUNTIF('ECG-xAI-AMI Review'!K:K,A6)</f>
        <v>5</v>
      </c>
      <c r="C6" s="17" t="n">
        <f aca="false">COUNTIF('ECG-xAI-AMI Review'!L:L,A6)</f>
        <v>6</v>
      </c>
      <c r="D6" s="17" t="n">
        <f aca="false">B6+C6</f>
        <v>11</v>
      </c>
    </row>
    <row r="8" customFormat="false" ht="15" hidden="false" customHeight="false" outlineLevel="0" collapsed="false">
      <c r="A8" s="18" t="s">
        <v>201</v>
      </c>
    </row>
    <row r="9" customFormat="false" ht="15" hidden="false" customHeight="false" outlineLevel="0" collapsed="false">
      <c r="A9" s="19" t="s">
        <v>202</v>
      </c>
      <c r="B9" s="17" t="n">
        <f aca="false">COUNTA('ECG-xAI-AMI Review'!A4:A26)</f>
        <v>23</v>
      </c>
    </row>
    <row r="10" customFormat="false" ht="15" hidden="false" customHeight="false" outlineLevel="0" collapsed="false">
      <c r="A10" s="19" t="s">
        <v>203</v>
      </c>
      <c r="B10" s="17" t="n">
        <f aca="false">COUNTIF('ECG-xAI-AMI Review'!N4:N26,"Done")</f>
        <v>0</v>
      </c>
    </row>
    <row r="11" customFormat="false" ht="15" hidden="false" customHeight="false" outlineLevel="0" collapsed="false">
      <c r="A11" s="19" t="s">
        <v>204</v>
      </c>
      <c r="B11" s="17" t="n">
        <f aca="false">COUNTIF('ECG-xAI-AMI Review'!N4:N26,"In progress")</f>
        <v>0</v>
      </c>
    </row>
    <row r="12" customFormat="false" ht="15" hidden="false" customHeight="false" outlineLevel="0" collapsed="false">
      <c r="A12" s="19" t="s">
        <v>29</v>
      </c>
      <c r="B12" s="17" t="n">
        <f aca="false">COUNTIF('ECG-xAI-AMI Review'!N4:N26,"Not started")</f>
        <v>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7" min="6" style="0" width="40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10"/>
    <col collapsed="false" customWidth="true" hidden="false" outlineLevel="0" max="11" min="11" style="0" width="8"/>
  </cols>
  <sheetData>
    <row r="1" customFormat="false" ht="21.75" hidden="false" customHeight="true" outlineLevel="0" collapsed="false">
      <c r="A1" s="20" t="s">
        <v>205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15" hidden="false" customHeight="false" outlineLevel="0" collapsed="false">
      <c r="A2" s="3" t="s">
        <v>5</v>
      </c>
      <c r="B2" s="3" t="s">
        <v>9</v>
      </c>
      <c r="C2" s="3" t="s">
        <v>6</v>
      </c>
      <c r="D2" s="3" t="s">
        <v>7</v>
      </c>
      <c r="E2" s="3" t="s">
        <v>206</v>
      </c>
      <c r="F2" s="3" t="s">
        <v>207</v>
      </c>
      <c r="G2" s="3" t="s">
        <v>208</v>
      </c>
      <c r="H2" s="3" t="s">
        <v>209</v>
      </c>
      <c r="I2" s="3" t="s">
        <v>210</v>
      </c>
      <c r="J2" s="3" t="s">
        <v>211</v>
      </c>
      <c r="K2" s="3" t="s">
        <v>212</v>
      </c>
    </row>
    <row r="3" customFormat="false" ht="30" hidden="false" customHeight="true" outlineLevel="0" collapsed="false">
      <c r="A3" s="11"/>
      <c r="B3" s="11"/>
      <c r="C3" s="21"/>
      <c r="D3" s="11"/>
      <c r="E3" s="11" t="s">
        <v>213</v>
      </c>
      <c r="F3" s="12" t="s">
        <v>214</v>
      </c>
      <c r="G3" s="11"/>
      <c r="H3" s="21"/>
      <c r="I3" s="11" t="s">
        <v>215</v>
      </c>
      <c r="J3" s="21"/>
      <c r="K3" s="21" t="s">
        <v>216</v>
      </c>
    </row>
    <row r="4" customFormat="false" ht="30" hidden="false" customHeight="true" outlineLevel="0" collapsed="false">
      <c r="A4" s="11" t="s">
        <v>217</v>
      </c>
      <c r="B4" s="11" t="s">
        <v>218</v>
      </c>
      <c r="C4" s="21" t="s">
        <v>66</v>
      </c>
      <c r="D4" s="11" t="s">
        <v>219</v>
      </c>
      <c r="E4" s="11" t="s">
        <v>220</v>
      </c>
      <c r="F4" s="12" t="s">
        <v>221</v>
      </c>
      <c r="G4" s="12" t="s">
        <v>222</v>
      </c>
      <c r="H4" s="21" t="s">
        <v>223</v>
      </c>
      <c r="I4" s="11" t="s">
        <v>224</v>
      </c>
      <c r="J4" s="21" t="s">
        <v>225</v>
      </c>
      <c r="K4" s="21" t="s">
        <v>216</v>
      </c>
    </row>
    <row r="5" customFormat="false" ht="30" hidden="false" customHeight="true" outlineLevel="0" collapsed="false">
      <c r="A5" s="11" t="s">
        <v>226</v>
      </c>
      <c r="B5" s="11" t="s">
        <v>227</v>
      </c>
      <c r="C5" s="21" t="s">
        <v>122</v>
      </c>
      <c r="D5" s="11" t="s">
        <v>228</v>
      </c>
      <c r="E5" s="11" t="s">
        <v>229</v>
      </c>
      <c r="F5" s="12" t="s">
        <v>230</v>
      </c>
      <c r="G5" s="11"/>
      <c r="H5" s="21"/>
      <c r="I5" s="11" t="s">
        <v>231</v>
      </c>
      <c r="J5" s="21" t="s">
        <v>27</v>
      </c>
      <c r="K5" s="21" t="s">
        <v>232</v>
      </c>
    </row>
    <row r="6" customFormat="false" ht="30" hidden="false" customHeight="true" outlineLevel="0" collapsed="false">
      <c r="A6" s="11"/>
      <c r="B6" s="11"/>
      <c r="C6" s="21" t="s">
        <v>20</v>
      </c>
      <c r="D6" s="11" t="s">
        <v>233</v>
      </c>
      <c r="E6" s="11" t="s">
        <v>234</v>
      </c>
      <c r="F6" s="12" t="s">
        <v>235</v>
      </c>
      <c r="G6" s="12" t="s">
        <v>236</v>
      </c>
      <c r="H6" s="21"/>
      <c r="I6" s="11"/>
      <c r="J6" s="21" t="s">
        <v>46</v>
      </c>
      <c r="K6" s="21" t="s">
        <v>216</v>
      </c>
    </row>
    <row r="7" customFormat="false" ht="30" hidden="false" customHeight="true" outlineLevel="0" collapsed="false">
      <c r="A7" s="11"/>
      <c r="B7" s="11"/>
      <c r="C7" s="21" t="s">
        <v>82</v>
      </c>
      <c r="D7" s="11" t="s">
        <v>237</v>
      </c>
      <c r="E7" s="11" t="s">
        <v>238</v>
      </c>
      <c r="F7" s="12" t="s">
        <v>239</v>
      </c>
      <c r="G7" s="12" t="s">
        <v>240</v>
      </c>
      <c r="H7" s="21"/>
      <c r="I7" s="11"/>
      <c r="J7" s="21"/>
      <c r="K7" s="21" t="s">
        <v>216</v>
      </c>
    </row>
    <row r="8" customFormat="false" ht="30" hidden="false" customHeight="true" outlineLevel="0" collapsed="false">
      <c r="A8" s="11" t="s">
        <v>241</v>
      </c>
      <c r="B8" s="11" t="s">
        <v>242</v>
      </c>
      <c r="C8" s="21" t="s">
        <v>146</v>
      </c>
      <c r="D8" s="11" t="s">
        <v>243</v>
      </c>
      <c r="E8" s="11" t="s">
        <v>244</v>
      </c>
      <c r="F8" s="12" t="s">
        <v>245</v>
      </c>
      <c r="G8" s="12" t="s">
        <v>246</v>
      </c>
      <c r="H8" s="21"/>
      <c r="I8" s="11" t="s">
        <v>247</v>
      </c>
      <c r="J8" s="21" t="s">
        <v>225</v>
      </c>
      <c r="K8" s="21" t="s">
        <v>232</v>
      </c>
    </row>
    <row r="9" customFormat="false" ht="30" hidden="false" customHeight="true" outlineLevel="0" collapsed="false">
      <c r="A9" s="11" t="s">
        <v>248</v>
      </c>
      <c r="B9" s="11"/>
      <c r="C9" s="21" t="s">
        <v>249</v>
      </c>
      <c r="D9" s="11"/>
      <c r="E9" s="11" t="s">
        <v>250</v>
      </c>
      <c r="F9" s="12" t="s">
        <v>251</v>
      </c>
      <c r="G9" s="11"/>
      <c r="H9" s="21" t="s">
        <v>223</v>
      </c>
      <c r="I9" s="11" t="s">
        <v>252</v>
      </c>
      <c r="J9" s="21"/>
      <c r="K9" s="21" t="s">
        <v>216</v>
      </c>
    </row>
    <row r="10" customFormat="false" ht="30" hidden="false" customHeight="true" outlineLevel="0" collapsed="false">
      <c r="A10" s="11" t="s">
        <v>241</v>
      </c>
      <c r="B10" s="11"/>
      <c r="C10" s="21" t="s">
        <v>253</v>
      </c>
      <c r="D10" s="11" t="s">
        <v>254</v>
      </c>
      <c r="E10" s="11" t="s">
        <v>255</v>
      </c>
      <c r="F10" s="12" t="s">
        <v>256</v>
      </c>
      <c r="G10" s="12" t="s">
        <v>257</v>
      </c>
      <c r="H10" s="21"/>
      <c r="I10" s="11"/>
      <c r="J10" s="21"/>
      <c r="K10" s="21" t="s">
        <v>216</v>
      </c>
    </row>
    <row r="11" customFormat="false" ht="30" hidden="false" customHeight="true" outlineLevel="0" collapsed="false">
      <c r="A11" s="11"/>
      <c r="B11" s="11"/>
      <c r="C11" s="21" t="s">
        <v>32</v>
      </c>
      <c r="D11" s="11" t="s">
        <v>258</v>
      </c>
      <c r="E11" s="11" t="s">
        <v>259</v>
      </c>
      <c r="F11" s="12" t="s">
        <v>260</v>
      </c>
      <c r="G11" s="11"/>
      <c r="H11" s="21" t="s">
        <v>223</v>
      </c>
      <c r="I11" s="11" t="s">
        <v>261</v>
      </c>
      <c r="J11" s="21"/>
      <c r="K11" s="21"/>
    </row>
    <row r="12" customFormat="false" ht="30" hidden="false" customHeight="true" outlineLevel="0" collapsed="false">
      <c r="A12" s="11" t="s">
        <v>226</v>
      </c>
      <c r="B12" s="11"/>
      <c r="C12" s="21" t="s">
        <v>253</v>
      </c>
      <c r="D12" s="11" t="s">
        <v>262</v>
      </c>
      <c r="E12" s="11" t="s">
        <v>263</v>
      </c>
      <c r="F12" s="12" t="s">
        <v>264</v>
      </c>
      <c r="G12" s="12" t="s">
        <v>265</v>
      </c>
      <c r="H12" s="21" t="s">
        <v>223</v>
      </c>
      <c r="I12" s="11" t="s">
        <v>266</v>
      </c>
      <c r="J12" s="21"/>
      <c r="K12" s="21" t="s">
        <v>216</v>
      </c>
    </row>
    <row r="13" customFormat="false" ht="30" hidden="false" customHeight="true" outlineLevel="0" collapsed="false">
      <c r="A13" s="11"/>
      <c r="B13" s="11"/>
      <c r="C13" s="21" t="s">
        <v>20</v>
      </c>
      <c r="D13" s="11" t="s">
        <v>267</v>
      </c>
      <c r="E13" s="11" t="s">
        <v>268</v>
      </c>
      <c r="F13" s="12" t="s">
        <v>269</v>
      </c>
      <c r="G13" s="12" t="s">
        <v>270</v>
      </c>
      <c r="H13" s="21"/>
      <c r="I13" s="11" t="s">
        <v>271</v>
      </c>
      <c r="J13" s="21" t="s">
        <v>272</v>
      </c>
      <c r="K13" s="21" t="s">
        <v>216</v>
      </c>
    </row>
    <row r="14" customFormat="false" ht="30" hidden="false" customHeight="true" outlineLevel="0" collapsed="false">
      <c r="A14" s="11"/>
      <c r="B14" s="11"/>
      <c r="C14" s="21" t="s">
        <v>59</v>
      </c>
      <c r="D14" s="11" t="s">
        <v>273</v>
      </c>
      <c r="E14" s="11" t="s">
        <v>274</v>
      </c>
      <c r="F14" s="12" t="s">
        <v>275</v>
      </c>
      <c r="G14" s="12" t="s">
        <v>276</v>
      </c>
      <c r="H14" s="21"/>
      <c r="I14" s="11"/>
      <c r="J14" s="21" t="s">
        <v>26</v>
      </c>
      <c r="K14" s="21" t="s">
        <v>216</v>
      </c>
    </row>
    <row r="15" customFormat="false" ht="30" hidden="false" customHeight="true" outlineLevel="0" collapsed="false">
      <c r="A15" s="11"/>
      <c r="B15" s="11"/>
      <c r="C15" s="21" t="s">
        <v>59</v>
      </c>
      <c r="D15" s="11" t="s">
        <v>277</v>
      </c>
      <c r="E15" s="11" t="s">
        <v>278</v>
      </c>
      <c r="F15" s="12" t="s">
        <v>279</v>
      </c>
      <c r="G15" s="12" t="s">
        <v>280</v>
      </c>
      <c r="H15" s="21"/>
      <c r="I15" s="11"/>
      <c r="J15" s="21"/>
      <c r="K15" s="21" t="s">
        <v>216</v>
      </c>
    </row>
    <row r="16" customFormat="false" ht="30" hidden="false" customHeight="true" outlineLevel="0" collapsed="false">
      <c r="A16" s="11"/>
      <c r="B16" s="11" t="s">
        <v>281</v>
      </c>
      <c r="C16" s="21" t="s">
        <v>282</v>
      </c>
      <c r="D16" s="11" t="s">
        <v>283</v>
      </c>
      <c r="E16" s="11" t="s">
        <v>284</v>
      </c>
      <c r="F16" s="12" t="s">
        <v>285</v>
      </c>
      <c r="G16" s="12" t="s">
        <v>276</v>
      </c>
      <c r="H16" s="21"/>
      <c r="I16" s="11" t="s">
        <v>286</v>
      </c>
      <c r="J16" s="21" t="s">
        <v>272</v>
      </c>
      <c r="K16" s="21" t="s">
        <v>232</v>
      </c>
    </row>
    <row r="17" customFormat="false" ht="30" hidden="false" customHeight="true" outlineLevel="0" collapsed="false">
      <c r="A17" s="11"/>
      <c r="B17" s="11"/>
      <c r="C17" s="21" t="s">
        <v>129</v>
      </c>
      <c r="D17" s="11" t="s">
        <v>287</v>
      </c>
      <c r="E17" s="11" t="s">
        <v>288</v>
      </c>
      <c r="F17" s="12" t="s">
        <v>289</v>
      </c>
      <c r="G17" s="11"/>
      <c r="H17" s="21"/>
      <c r="I17" s="11"/>
      <c r="J17" s="21" t="s">
        <v>225</v>
      </c>
      <c r="K17" s="21" t="s">
        <v>232</v>
      </c>
    </row>
    <row r="18" customFormat="false" ht="30" hidden="false" customHeight="true" outlineLevel="0" collapsed="false">
      <c r="A18" s="11"/>
      <c r="B18" s="11" t="s">
        <v>290</v>
      </c>
      <c r="C18" s="21" t="s">
        <v>146</v>
      </c>
      <c r="D18" s="11" t="s">
        <v>291</v>
      </c>
      <c r="E18" s="11" t="s">
        <v>292</v>
      </c>
      <c r="F18" s="12" t="s">
        <v>293</v>
      </c>
      <c r="G18" s="11"/>
      <c r="H18" s="21"/>
      <c r="I18" s="11" t="s">
        <v>294</v>
      </c>
      <c r="J18" s="21" t="s">
        <v>272</v>
      </c>
      <c r="K18" s="21" t="s">
        <v>232</v>
      </c>
    </row>
    <row r="19" customFormat="false" ht="30" hidden="false" customHeight="true" outlineLevel="0" collapsed="false">
      <c r="A19" s="11"/>
      <c r="B19" s="11"/>
      <c r="C19" s="21" t="s">
        <v>295</v>
      </c>
      <c r="D19" s="11" t="s">
        <v>296</v>
      </c>
      <c r="E19" s="11" t="s">
        <v>297</v>
      </c>
      <c r="F19" s="12" t="s">
        <v>298</v>
      </c>
      <c r="G19" s="11"/>
      <c r="H19" s="21"/>
      <c r="I19" s="11"/>
      <c r="J19" s="21" t="s">
        <v>27</v>
      </c>
      <c r="K19" s="21" t="s">
        <v>232</v>
      </c>
    </row>
    <row r="20" customFormat="false" ht="30" hidden="false" customHeight="true" outlineLevel="0" collapsed="false">
      <c r="A20" s="11"/>
      <c r="B20" s="11"/>
      <c r="C20" s="21" t="s">
        <v>20</v>
      </c>
      <c r="D20" s="11" t="s">
        <v>299</v>
      </c>
      <c r="E20" s="11" t="s">
        <v>300</v>
      </c>
      <c r="F20" s="12" t="s">
        <v>301</v>
      </c>
      <c r="G20" s="12" t="s">
        <v>302</v>
      </c>
      <c r="H20" s="21"/>
      <c r="I20" s="11"/>
      <c r="J20" s="21" t="s">
        <v>27</v>
      </c>
      <c r="K20" s="21" t="s">
        <v>216</v>
      </c>
    </row>
    <row r="21" customFormat="false" ht="30" hidden="false" customHeight="true" outlineLevel="0" collapsed="false">
      <c r="A21" s="11"/>
      <c r="B21" s="11"/>
      <c r="C21" s="21" t="s">
        <v>303</v>
      </c>
      <c r="D21" s="11" t="s">
        <v>304</v>
      </c>
      <c r="E21" s="11" t="s">
        <v>305</v>
      </c>
      <c r="F21" s="12" t="s">
        <v>306</v>
      </c>
      <c r="G21" s="11"/>
      <c r="H21" s="21"/>
      <c r="I21" s="11" t="s">
        <v>307</v>
      </c>
      <c r="J21" s="21" t="s">
        <v>272</v>
      </c>
      <c r="K21" s="21" t="s">
        <v>232</v>
      </c>
    </row>
    <row r="22" customFormat="false" ht="30" hidden="false" customHeight="true" outlineLevel="0" collapsed="false">
      <c r="A22" s="11"/>
      <c r="B22" s="11"/>
      <c r="C22" s="21" t="s">
        <v>249</v>
      </c>
      <c r="D22" s="11" t="s">
        <v>308</v>
      </c>
      <c r="E22" s="11" t="s">
        <v>309</v>
      </c>
      <c r="F22" s="12" t="s">
        <v>310</v>
      </c>
      <c r="G22" s="12" t="s">
        <v>311</v>
      </c>
      <c r="H22" s="21"/>
      <c r="I22" s="11"/>
      <c r="J22" s="21" t="s">
        <v>312</v>
      </c>
      <c r="K22" s="21" t="s">
        <v>216</v>
      </c>
    </row>
    <row r="23" customFormat="false" ht="30" hidden="false" customHeight="true" outlineLevel="0" collapsed="false">
      <c r="A23" s="11"/>
      <c r="B23" s="11"/>
      <c r="C23" s="21" t="s">
        <v>146</v>
      </c>
      <c r="D23" s="11" t="s">
        <v>313</v>
      </c>
      <c r="E23" s="11" t="s">
        <v>314</v>
      </c>
      <c r="F23" s="12" t="s">
        <v>315</v>
      </c>
      <c r="G23" s="12" t="s">
        <v>316</v>
      </c>
      <c r="H23" s="21"/>
      <c r="I23" s="11"/>
      <c r="J23" s="21" t="s">
        <v>312</v>
      </c>
      <c r="K23" s="21" t="s">
        <v>216</v>
      </c>
    </row>
    <row r="24" customFormat="false" ht="30" hidden="false" customHeight="true" outlineLevel="0" collapsed="false">
      <c r="A24" s="11" t="s">
        <v>241</v>
      </c>
      <c r="B24" s="11" t="s">
        <v>317</v>
      </c>
      <c r="C24" s="21" t="s">
        <v>318</v>
      </c>
      <c r="D24" s="11" t="s">
        <v>319</v>
      </c>
      <c r="E24" s="11" t="s">
        <v>320</v>
      </c>
      <c r="F24" s="11" t="s">
        <v>321</v>
      </c>
      <c r="G24" s="12" t="s">
        <v>322</v>
      </c>
      <c r="H24" s="21"/>
      <c r="I24" s="11" t="s">
        <v>323</v>
      </c>
      <c r="J24" s="21" t="s">
        <v>26</v>
      </c>
      <c r="K24" s="21" t="s">
        <v>232</v>
      </c>
    </row>
    <row r="25" customFormat="false" ht="30" hidden="false" customHeight="true" outlineLevel="0" collapsed="false">
      <c r="A25" s="11" t="s">
        <v>324</v>
      </c>
      <c r="B25" s="11" t="s">
        <v>281</v>
      </c>
      <c r="C25" s="21" t="s">
        <v>146</v>
      </c>
      <c r="D25" s="11" t="s">
        <v>325</v>
      </c>
      <c r="E25" s="11" t="s">
        <v>326</v>
      </c>
      <c r="F25" s="12" t="s">
        <v>327</v>
      </c>
      <c r="G25" s="12" t="s">
        <v>328</v>
      </c>
      <c r="H25" s="21" t="s">
        <v>223</v>
      </c>
      <c r="I25" s="12" t="s">
        <v>329</v>
      </c>
      <c r="J25" s="21" t="s">
        <v>26</v>
      </c>
      <c r="K25" s="21" t="s">
        <v>232</v>
      </c>
    </row>
    <row r="26" customFormat="false" ht="30" hidden="false" customHeight="true" outlineLevel="0" collapsed="false">
      <c r="A26" s="11" t="s">
        <v>330</v>
      </c>
      <c r="B26" s="11"/>
      <c r="C26" s="21" t="s">
        <v>129</v>
      </c>
      <c r="D26" s="11"/>
      <c r="E26" s="11" t="s">
        <v>331</v>
      </c>
      <c r="F26" s="12" t="s">
        <v>332</v>
      </c>
      <c r="G26" s="11"/>
      <c r="H26" s="21"/>
      <c r="I26" s="11" t="s">
        <v>333</v>
      </c>
      <c r="J26" s="21"/>
      <c r="K26" s="21" t="s">
        <v>216</v>
      </c>
    </row>
    <row r="27" customFormat="false" ht="30" hidden="false" customHeight="true" outlineLevel="0" collapsed="false">
      <c r="A27" s="11" t="s">
        <v>334</v>
      </c>
      <c r="B27" s="11"/>
      <c r="C27" s="21" t="s">
        <v>20</v>
      </c>
      <c r="D27" s="11"/>
      <c r="E27" s="11" t="s">
        <v>124</v>
      </c>
      <c r="F27" s="12" t="s">
        <v>335</v>
      </c>
      <c r="G27" s="11"/>
      <c r="H27" s="21"/>
      <c r="I27" s="11"/>
      <c r="J27" s="21" t="s">
        <v>312</v>
      </c>
      <c r="K27" s="21" t="s">
        <v>216</v>
      </c>
    </row>
    <row r="28" customFormat="false" ht="30" hidden="false" customHeight="true" outlineLevel="0" collapsed="false">
      <c r="A28" s="11" t="s">
        <v>336</v>
      </c>
      <c r="B28" s="11"/>
      <c r="C28" s="21" t="s">
        <v>253</v>
      </c>
      <c r="D28" s="11"/>
      <c r="E28" s="11" t="s">
        <v>337</v>
      </c>
      <c r="F28" s="12" t="s">
        <v>338</v>
      </c>
      <c r="G28" s="11"/>
      <c r="H28" s="21"/>
      <c r="I28" s="11"/>
      <c r="J28" s="21"/>
      <c r="K28" s="21" t="s">
        <v>216</v>
      </c>
    </row>
    <row r="29" customFormat="false" ht="30" hidden="false" customHeight="true" outlineLevel="0" collapsed="false">
      <c r="A29" s="11" t="s">
        <v>339</v>
      </c>
      <c r="B29" s="11"/>
      <c r="C29" s="21" t="s">
        <v>129</v>
      </c>
      <c r="D29" s="11" t="s">
        <v>340</v>
      </c>
      <c r="E29" s="11" t="s">
        <v>341</v>
      </c>
      <c r="F29" s="12" t="s">
        <v>342</v>
      </c>
      <c r="G29" s="11"/>
      <c r="H29" s="21"/>
      <c r="I29" s="11"/>
      <c r="J29" s="21"/>
      <c r="K29" s="21" t="s">
        <v>216</v>
      </c>
    </row>
    <row r="30" customFormat="false" ht="30" hidden="false" customHeight="true" outlineLevel="0" collapsed="false">
      <c r="A30" s="11" t="s">
        <v>343</v>
      </c>
      <c r="B30" s="11"/>
      <c r="C30" s="21" t="s">
        <v>249</v>
      </c>
      <c r="D30" s="11" t="s">
        <v>344</v>
      </c>
      <c r="E30" s="11" t="s">
        <v>345</v>
      </c>
      <c r="F30" s="12" t="s">
        <v>346</v>
      </c>
      <c r="G30" s="11" t="s">
        <v>347</v>
      </c>
      <c r="H30" s="21" t="s">
        <v>223</v>
      </c>
      <c r="I30" s="11"/>
      <c r="J30" s="21" t="s">
        <v>46</v>
      </c>
      <c r="K30" s="21" t="s">
        <v>232</v>
      </c>
    </row>
    <row r="31" customFormat="false" ht="30" hidden="false" customHeight="true" outlineLevel="0" collapsed="false">
      <c r="A31" s="11" t="s">
        <v>348</v>
      </c>
      <c r="B31" s="11"/>
      <c r="C31" s="21" t="s">
        <v>349</v>
      </c>
      <c r="D31" s="11"/>
      <c r="E31" s="11" t="s">
        <v>350</v>
      </c>
      <c r="F31" s="11" t="s">
        <v>351</v>
      </c>
      <c r="G31" s="11"/>
      <c r="H31" s="21" t="s">
        <v>223</v>
      </c>
      <c r="I31" s="11"/>
      <c r="J31" s="21"/>
      <c r="K31" s="21" t="s">
        <v>216</v>
      </c>
    </row>
    <row r="32" customFormat="false" ht="30" hidden="false" customHeight="true" outlineLevel="0" collapsed="false">
      <c r="A32" s="11" t="s">
        <v>352</v>
      </c>
      <c r="B32" s="11" t="s">
        <v>353</v>
      </c>
      <c r="C32" s="21" t="s">
        <v>295</v>
      </c>
      <c r="D32" s="11" t="s">
        <v>354</v>
      </c>
      <c r="E32" s="11" t="s">
        <v>355</v>
      </c>
      <c r="F32" s="12" t="s">
        <v>356</v>
      </c>
      <c r="G32" s="12" t="s">
        <v>357</v>
      </c>
      <c r="H32" s="21"/>
      <c r="I32" s="12" t="s">
        <v>358</v>
      </c>
      <c r="J32" s="21" t="s">
        <v>312</v>
      </c>
      <c r="K32" s="21" t="s">
        <v>232</v>
      </c>
    </row>
  </sheetData>
  <autoFilter ref="A2:K32"/>
  <mergeCells count="1">
    <mergeCell ref="A1:K1"/>
  </mergeCells>
  <hyperlinks>
    <hyperlink ref="F3" r:id="rId1" display="https://arxiv.org/pdf/2409.00265"/>
    <hyperlink ref="F4" r:id="rId2" display="https://arxiv.org/pdf/2511.08464"/>
    <hyperlink ref="G4" r:id="rId3" display="https://github.com/maianhpuco/CIG"/>
    <hyperlink ref="F5" r:id="rId4" display="https://arxiv.org/abs/1711.06104"/>
    <hyperlink ref="F6" r:id="rId5" display="https://distill.pub/2020/attribution-baselines/"/>
    <hyperlink ref="G6" r:id="rId6" display="https://github.com/distillpub/post--attribution-baselines"/>
    <hyperlink ref="F7" r:id="rId7" display="https://arxiv.org/pdf/2305.20052"/>
    <hyperlink ref="G7" r:id="rId8" display="https://github.com/chasewalker26/Integrated-Decision-Gradients"/>
    <hyperlink ref="F8" r:id="rId9" display="https://arxiv.org/pdf/1703.01365"/>
    <hyperlink ref="G8" r:id="rId10" display="https://github.com/ankurtaly/Integrated-Gradients"/>
    <hyperlink ref="F9" r:id="rId11" display="https://arxiv.org/pdf/1611.02639"/>
    <hyperlink ref="F10" r:id="rId12" display="https://arxiv.org/pdf/2605.02167"/>
    <hyperlink ref="G10" r:id="rId13" display="https://github.com/leekwoon/ma-gig/"/>
    <hyperlink ref="F11" r:id="rId14" display="https://arxiv.org/pdf/2311.06192"/>
    <hyperlink ref="F12" r:id="rId15" display="https://arxiv.org/pdf/2603.13792"/>
    <hyperlink ref="G12" r:id="rId16" display="https://github.com/withyou12/igulora"/>
    <hyperlink ref="F13" r:id="rId17" display="https://arxiv.org/pdf/2010.12697"/>
    <hyperlink ref="G13" r:id="rId18" display="https://github.com/vivekmig/captum-1/tree/ExpandedIG"/>
    <hyperlink ref="F14" r:id="rId19" display="https://arxiv.org/pdf/2106.09788"/>
    <hyperlink ref="G14" r:id="rId20" display="https://github.com/pair-code/saliency"/>
    <hyperlink ref="F15" r:id="rId21" display="https://www.ijcai.org/proceedings/2021/0396.pdf"/>
    <hyperlink ref="G15" r:id="rId22" display="https://github.com/pd90506/AGI"/>
    <hyperlink ref="F16" r:id="rId23" display="https://papers.baulab.info/papers/also/Erhan-2009.pdf"/>
    <hyperlink ref="G16" r:id="rId24" display="https://github.com/pair-code/saliency"/>
    <hyperlink ref="F17" r:id="rId25" display="https://arxiv.org/abs/1906.02825"/>
    <hyperlink ref="F18" r:id="rId26" display="https://arxiv.org/abs/1706.03825"/>
    <hyperlink ref="F19" r:id="rId27" display="https://arxiv.org/abs/1412.6806"/>
    <hyperlink ref="F20" r:id="rId28" display="https://arxiv.org/pdf/2004.03383"/>
    <hyperlink ref="G20" r:id="rId29" display="https://github.com/ankurtaly/integrated-gradients"/>
    <hyperlink ref="F21" r:id="rId30" display="https://arxiv.org/abs/1312.6034"/>
    <hyperlink ref="F22" r:id="rId31" display="https://arxiv.org/pdf/1610.02391"/>
    <hyperlink ref="G22" r:id="rId32" display="https://github.com/ramprs/grad-cam/"/>
    <hyperlink ref="F23" r:id="rId33" display="https://arxiv.org/pdf/1710.11063"/>
    <hyperlink ref="G23" r:id="rId34" display="https://github.com/adityac94/Grad_CAM_plus_plus"/>
    <hyperlink ref="G24" r:id="rId35" display="https://github.com/kundajelab/deeplift"/>
    <hyperlink ref="F25" r:id="rId36" display="https://papers.nips.cc/paper_files/paper/2017/hash/8a20a8621978632d76c43dfd28b67767-Abstract.html"/>
    <hyperlink ref="G25" r:id="rId37" display="https://github.com/slundberg/shap"/>
    <hyperlink ref="I25" r:id="rId38" display="https://github.com/thailevann/research-paper-notes-vi/blob/main/SHAP.pdf"/>
    <hyperlink ref="F26" r:id="rId39" display="https://arxiv.org/abs/1905.04610"/>
    <hyperlink ref="F27" r:id="rId40" display="https://arxiv.org/pdf/1810.03292"/>
    <hyperlink ref="F28" r:id="rId41" display="https://arxiv.org/pdf/2605.06404"/>
    <hyperlink ref="F29" r:id="rId42" display="https://arxiv.org/pdf/1908.01224"/>
    <hyperlink ref="F30" r:id="rId43" display="https://arxiv.org/pdf/1602.04938"/>
    <hyperlink ref="F32" r:id="rId44" display="https://arxiv.org/pdf/1512.04150"/>
    <hyperlink ref="G32" r:id="rId45" display="https://github.com/zhoubolei/CAM"/>
    <hyperlink ref="I32" r:id="rId46" display="https://app.notion.com/p/Learning-Deep-Features-for-Discriminative-Localization-378af1f4ea558044bbd1c06cd09f1912?source=copy_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44"/>
  </cols>
  <sheetData>
    <row r="1" customFormat="false" ht="21.75" hidden="false" customHeight="true" outlineLevel="0" collapsed="false">
      <c r="A1" s="15" t="s">
        <v>359</v>
      </c>
      <c r="B1" s="15"/>
      <c r="C1" s="15"/>
      <c r="D1" s="15"/>
    </row>
    <row r="2" customFormat="false" ht="15" hidden="false" customHeight="false" outlineLevel="0" collapsed="false">
      <c r="A2" s="3" t="s">
        <v>360</v>
      </c>
      <c r="B2" s="3" t="s">
        <v>206</v>
      </c>
      <c r="C2" s="3" t="s">
        <v>361</v>
      </c>
      <c r="D2" s="3" t="s">
        <v>362</v>
      </c>
    </row>
    <row r="3" customFormat="false" ht="25.5" hidden="false" customHeight="true" outlineLevel="0" collapsed="false">
      <c r="A3" s="22" t="s">
        <v>9</v>
      </c>
      <c r="B3" s="10" t="s">
        <v>363</v>
      </c>
      <c r="C3" s="12" t="s">
        <v>364</v>
      </c>
      <c r="D3" s="11" t="s">
        <v>365</v>
      </c>
    </row>
    <row r="4" customFormat="false" ht="25.5" hidden="false" customHeight="true" outlineLevel="0" collapsed="false">
      <c r="A4" s="22" t="s">
        <v>9</v>
      </c>
      <c r="B4" s="10" t="s">
        <v>366</v>
      </c>
      <c r="C4" s="12" t="s">
        <v>24</v>
      </c>
      <c r="D4" s="11" t="s">
        <v>367</v>
      </c>
    </row>
    <row r="5" customFormat="false" ht="25.5" hidden="false" customHeight="true" outlineLevel="0" collapsed="false">
      <c r="A5" s="22" t="s">
        <v>9</v>
      </c>
      <c r="B5" s="10" t="s">
        <v>368</v>
      </c>
      <c r="C5" s="12" t="s">
        <v>36</v>
      </c>
      <c r="D5" s="11" t="s">
        <v>369</v>
      </c>
    </row>
    <row r="6" customFormat="false" ht="25.5" hidden="false" customHeight="true" outlineLevel="0" collapsed="false">
      <c r="A6" s="22" t="s">
        <v>9</v>
      </c>
      <c r="B6" s="10" t="s">
        <v>370</v>
      </c>
      <c r="C6" s="12" t="s">
        <v>37</v>
      </c>
      <c r="D6" s="11" t="s">
        <v>371</v>
      </c>
    </row>
    <row r="7" customFormat="false" ht="25.5" hidden="false" customHeight="true" outlineLevel="0" collapsed="false">
      <c r="A7" s="22" t="s">
        <v>9</v>
      </c>
      <c r="B7" s="10" t="s">
        <v>372</v>
      </c>
      <c r="C7" s="12" t="s">
        <v>373</v>
      </c>
      <c r="D7" s="11" t="s">
        <v>374</v>
      </c>
    </row>
    <row r="8" customFormat="false" ht="25.5" hidden="false" customHeight="true" outlineLevel="0" collapsed="false">
      <c r="A8" s="22" t="s">
        <v>9</v>
      </c>
      <c r="B8" s="10" t="s">
        <v>375</v>
      </c>
      <c r="C8" s="12" t="s">
        <v>54</v>
      </c>
      <c r="D8" s="11" t="s">
        <v>376</v>
      </c>
    </row>
    <row r="9" customFormat="false" ht="25.5" hidden="false" customHeight="true" outlineLevel="0" collapsed="false">
      <c r="A9" s="22" t="s">
        <v>377</v>
      </c>
      <c r="B9" s="10" t="s">
        <v>378</v>
      </c>
      <c r="C9" s="12" t="s">
        <v>25</v>
      </c>
      <c r="D9" s="11" t="s">
        <v>379</v>
      </c>
    </row>
    <row r="10" customFormat="false" ht="25.5" hidden="false" customHeight="true" outlineLevel="0" collapsed="false">
      <c r="A10" s="22" t="s">
        <v>380</v>
      </c>
      <c r="B10" s="10" t="s">
        <v>381</v>
      </c>
      <c r="C10" s="12" t="s">
        <v>382</v>
      </c>
      <c r="D10" s="11" t="s">
        <v>383</v>
      </c>
    </row>
    <row r="11" customFormat="false" ht="25.5" hidden="false" customHeight="true" outlineLevel="0" collapsed="false">
      <c r="A11" s="22" t="s">
        <v>380</v>
      </c>
      <c r="B11" s="10" t="s">
        <v>384</v>
      </c>
      <c r="C11" s="12" t="s">
        <v>163</v>
      </c>
      <c r="D11" s="11" t="s">
        <v>385</v>
      </c>
    </row>
    <row r="12" customFormat="false" ht="25.5" hidden="false" customHeight="true" outlineLevel="0" collapsed="false">
      <c r="A12" s="22" t="s">
        <v>380</v>
      </c>
      <c r="B12" s="10" t="s">
        <v>386</v>
      </c>
      <c r="C12" s="12" t="s">
        <v>171</v>
      </c>
      <c r="D12" s="11" t="s">
        <v>387</v>
      </c>
    </row>
    <row r="13" customFormat="false" ht="25.5" hidden="false" customHeight="true" outlineLevel="0" collapsed="false">
      <c r="A13" s="22" t="s">
        <v>380</v>
      </c>
      <c r="B13" s="10" t="s">
        <v>388</v>
      </c>
      <c r="C13" s="12" t="s">
        <v>389</v>
      </c>
      <c r="D13" s="11" t="s">
        <v>390</v>
      </c>
    </row>
    <row r="14" customFormat="false" ht="25.5" hidden="false" customHeight="true" outlineLevel="0" collapsed="false">
      <c r="A14" s="22" t="s">
        <v>380</v>
      </c>
      <c r="B14" s="10" t="s">
        <v>391</v>
      </c>
      <c r="C14" s="12" t="s">
        <v>142</v>
      </c>
      <c r="D14" s="11" t="s">
        <v>392</v>
      </c>
    </row>
    <row r="15" customFormat="false" ht="25.5" hidden="false" customHeight="true" outlineLevel="0" collapsed="false">
      <c r="A15" s="22" t="s">
        <v>380</v>
      </c>
      <c r="B15" s="10" t="s">
        <v>393</v>
      </c>
      <c r="C15" s="12" t="s">
        <v>180</v>
      </c>
      <c r="D15" s="11" t="s">
        <v>394</v>
      </c>
    </row>
  </sheetData>
  <mergeCells count="1">
    <mergeCell ref="A1:D1"/>
  </mergeCells>
  <hyperlinks>
    <hyperlink ref="C3" r:id="rId1" display="https://physionet.org/content/ptb-xl/1.0.3/"/>
    <hyperlink ref="C4" r:id="rId2" display="https://doi.org/10.1038/s41597-020-0495-6"/>
    <hyperlink ref="C5" r:id="rId3" display="https://physionet.org/content/mimic-iv-ecg/1.0/"/>
    <hyperlink ref="C6" r:id="rId4" display="https://physionet.org/content/mimic-iv-ecg-demo/0.1/"/>
    <hyperlink ref="C7" r:id="rId5" display="https://physionet.org/content/ecg-arrhythmia/1.0.0/"/>
    <hyperlink ref="C8" r:id="rId6" display="https://physionet.org/content/challenge-2020/1.0.2/"/>
    <hyperlink ref="C9" r:id="rId7" display="https://github.com/helme/ecg_ptbxl_benchmarking"/>
    <hyperlink ref="C10" r:id="rId8" display="https://captum.ai/"/>
    <hyperlink ref="C11" r:id="rId9" display="https://github.com/understandable-machine-intelligence-lab/Quantus"/>
    <hyperlink ref="C12" r:id="rId10" display="https://github.com/AI4LIFE-GROUP/OpenXAI"/>
    <hyperlink ref="C13" r:id="rId11" display="https://github.com/neuropsychology/NeuroKit"/>
    <hyperlink ref="C14" r:id="rId12" display="https://github.com/eclique/RISE"/>
    <hyperlink ref="C15" r:id="rId13" display="https://github.com/interpretml/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3" t="s">
        <v>395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4" t="s">
        <v>396</v>
      </c>
    </row>
    <row r="4" customFormat="false" ht="15" hidden="false" customHeight="false" outlineLevel="0" collapsed="false">
      <c r="A4" s="24"/>
    </row>
    <row r="5" customFormat="false" ht="15" hidden="false" customHeight="false" outlineLevel="0" collapsed="false">
      <c r="A5" s="25" t="s">
        <v>397</v>
      </c>
    </row>
    <row r="6" customFormat="false" ht="15" hidden="false" customHeight="false" outlineLevel="0" collapsed="false">
      <c r="A6" s="24" t="s">
        <v>398</v>
      </c>
    </row>
    <row r="7" customFormat="false" ht="15" hidden="false" customHeight="false" outlineLevel="0" collapsed="false">
      <c r="A7" s="24" t="s">
        <v>399</v>
      </c>
    </row>
    <row r="8" customFormat="false" ht="15" hidden="false" customHeight="false" outlineLevel="0" collapsed="false">
      <c r="A8" s="24" t="s">
        <v>400</v>
      </c>
    </row>
    <row r="9" customFormat="false" ht="15" hidden="false" customHeight="false" outlineLevel="0" collapsed="false">
      <c r="A9" s="24" t="s">
        <v>401</v>
      </c>
    </row>
    <row r="10" customFormat="false" ht="15" hidden="false" customHeight="false" outlineLevel="0" collapsed="false">
      <c r="A10" s="24"/>
    </row>
    <row r="11" customFormat="false" ht="15" hidden="false" customHeight="false" outlineLevel="0" collapsed="false">
      <c r="A11" s="25" t="s">
        <v>402</v>
      </c>
    </row>
    <row r="12" customFormat="false" ht="15" hidden="false" customHeight="false" outlineLevel="0" collapsed="false">
      <c r="A12" s="24" t="s">
        <v>403</v>
      </c>
    </row>
    <row r="13" customFormat="false" ht="23.85" hidden="false" customHeight="false" outlineLevel="0" collapsed="false">
      <c r="A13" s="24" t="s">
        <v>404</v>
      </c>
    </row>
    <row r="14" customFormat="false" ht="15" hidden="false" customHeight="false" outlineLevel="0" collapsed="false">
      <c r="A14" s="24" t="s">
        <v>405</v>
      </c>
    </row>
    <row r="15" customFormat="false" ht="15" hidden="false" customHeight="false" outlineLevel="0" collapsed="false">
      <c r="A15" s="24"/>
    </row>
    <row r="16" customFormat="false" ht="15" hidden="false" customHeight="false" outlineLevel="0" collapsed="false">
      <c r="A16" s="25" t="s">
        <v>406</v>
      </c>
    </row>
    <row r="17" customFormat="false" ht="15" hidden="false" customHeight="false" outlineLevel="0" collapsed="false">
      <c r="A17" s="24" t="s">
        <v>407</v>
      </c>
    </row>
    <row r="18" customFormat="false" ht="15" hidden="false" customHeight="false" outlineLevel="0" collapsed="false">
      <c r="A18" s="24"/>
    </row>
    <row r="19" customFormat="false" ht="15" hidden="false" customHeight="false" outlineLevel="0" collapsed="false">
      <c r="A19" s="25" t="s">
        <v>408</v>
      </c>
    </row>
    <row r="20" customFormat="false" ht="23.85" hidden="false" customHeight="false" outlineLevel="0" collapsed="false">
      <c r="A20" s="24" t="s">
        <v>409</v>
      </c>
    </row>
    <row r="21" customFormat="false" ht="15" hidden="false" customHeight="false" outlineLevel="0" collapsed="false">
      <c r="A21" s="24"/>
    </row>
    <row r="22" customFormat="false" ht="15" hidden="false" customHeight="false" outlineLevel="0" collapsed="false">
      <c r="A22" s="26" t="s">
        <v>410</v>
      </c>
    </row>
    <row r="23" customFormat="false" ht="15" hidden="false" customHeight="false" outlineLevel="0" collapsed="false">
      <c r="A23" s="27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2026-07-05T19:30:10Z</dcterms:created>
  <dc:creator>openpyxl</dc:creator>
  <dc:description/>
  <dc:language>en-US</dc:language>
  <cp:lastModifiedBy/>
  <dcterms:modified xsi:type="dcterms:W3CDTF">2026-07-05T19:30:10Z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